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4"/>
    <sheet state="visible" name="Dashboard" sheetId="2" r:id="rId5"/>
    <sheet state="visible" name="Alex Monroe" sheetId="3" r:id="rId6"/>
    <sheet state="visible" name="Jordan Patel" sheetId="4" r:id="rId7"/>
    <sheet state="visible" name="Taylor Brooks" sheetId="5" r:id="rId8"/>
    <sheet state="visible" name="Morgan Reyes" sheetId="6" r:id="rId9"/>
    <sheet state="visible" name="Casey Nguyen" sheetId="7" r:id="rId10"/>
  </sheets>
  <definedNames/>
  <calcPr/>
  <extLst>
    <ext uri="GoogleSheetsCustomDataVersion2">
      <go:sheetsCustomData xmlns:go="http://customooxmlschemas.google.com/" r:id="rId11" roundtripDataChecksum="woJkgoCaB1cbJDMqbU47IghCM1a8Bnq0+zxo3+YoURw="/>
    </ext>
  </extLst>
</workbook>
</file>

<file path=xl/sharedStrings.xml><?xml version="1.0" encoding="utf-8"?>
<sst xmlns="http://schemas.openxmlformats.org/spreadsheetml/2006/main" count="114" uniqueCount="40">
  <si>
    <t>Flower</t>
  </si>
  <si>
    <t>Infused Product</t>
  </si>
  <si>
    <t>Concentrate</t>
  </si>
  <si>
    <t>mg to g Converter</t>
  </si>
  <si>
    <t>Ounces</t>
  </si>
  <si>
    <t>Edibles</t>
  </si>
  <si>
    <t>Grams</t>
  </si>
  <si>
    <t>Milligrams</t>
  </si>
  <si>
    <t>Eighths</t>
  </si>
  <si>
    <t>Topicals</t>
  </si>
  <si>
    <t>Moon Rocks</t>
  </si>
  <si>
    <t>Pre-Rolls</t>
  </si>
  <si>
    <t>Vape Carts</t>
  </si>
  <si>
    <t>Infused Pre-Rolls</t>
  </si>
  <si>
    <t>g to mg Converter</t>
  </si>
  <si>
    <t>Alex Monroe</t>
  </si>
  <si>
    <t>Jordan Patel</t>
  </si>
  <si>
    <t>Taylor Brooks</t>
  </si>
  <si>
    <t>Morgan Reyes</t>
  </si>
  <si>
    <t>Casey Nguyen</t>
  </si>
  <si>
    <t xml:space="preserve">Start Date: </t>
  </si>
  <si>
    <t xml:space="preserve">End Date: </t>
  </si>
  <si>
    <t>Flower (g)</t>
  </si>
  <si>
    <t>Infused Product (mg)</t>
  </si>
  <si>
    <t>Concentrate (g)</t>
  </si>
  <si>
    <t>Package Tag</t>
  </si>
  <si>
    <t>Quantity</t>
  </si>
  <si>
    <t>Product Type</t>
  </si>
  <si>
    <t>Adjustment Quantity</t>
  </si>
  <si>
    <t>Units</t>
  </si>
  <si>
    <t>Dispersal Date</t>
  </si>
  <si>
    <t>1A4050300047D2A000008193</t>
  </si>
  <si>
    <t>Each</t>
  </si>
  <si>
    <t>1A40503000AF91C000006482</t>
  </si>
  <si>
    <t>1A4050300051E4D000002946</t>
  </si>
  <si>
    <t>1A40503000B23CD000004771</t>
  </si>
  <si>
    <t>1A405030009D7A2000007314</t>
  </si>
  <si>
    <t>1A405030003C8BE000009057</t>
  </si>
  <si>
    <t>1A405030002F9A8000006935</t>
  </si>
  <si>
    <t>1A40503000684F9000001582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</si>
</sst>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0"/>
    <numFmt numFmtId="165" formatCode="M/d/yyyy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0C0C0C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3" numFmtId="0" xfId="0" applyBorder="1" applyFont="1"/>
    <xf borderId="0" fillId="0" fontId="3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3" numFmtId="0" xfId="0" applyAlignment="1" applyFont="1">
      <alignment horizontal="center"/>
    </xf>
    <xf borderId="10" fillId="0" fontId="1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4" fillId="0" fontId="1" numFmtId="164" xfId="0" applyAlignment="1" applyBorder="1" applyFont="1" applyNumberFormat="1">
      <alignment horizontal="center" readingOrder="0"/>
    </xf>
    <xf borderId="5" fillId="0" fontId="2" numFmtId="0" xfId="0" applyBorder="1" applyFont="1"/>
    <xf borderId="4" fillId="0" fontId="3" numFmtId="0" xfId="0" applyAlignment="1" applyBorder="1" applyFont="1">
      <alignment horizontal="right"/>
    </xf>
    <xf borderId="0" fillId="0" fontId="3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/>
    </xf>
    <xf borderId="4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2" fontId="3" numFmtId="0" xfId="0" applyAlignment="1" applyBorder="1" applyFill="1" applyFont="1">
      <alignment readingOrder="0" vertical="bottom"/>
    </xf>
    <xf borderId="11" fillId="0" fontId="3" numFmtId="0" xfId="0" applyAlignment="1" applyBorder="1" applyFont="1">
      <alignment horizontal="right" readingOrder="0" vertical="bottom"/>
    </xf>
    <xf borderId="11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165" xfId="0" applyBorder="1" applyFont="1" applyNumberFormat="1"/>
    <xf borderId="0" fillId="0" fontId="3" numFmtId="165" xfId="0" applyFont="1" applyNumberFormat="1"/>
    <xf borderId="4" fillId="0" fontId="3" numFmtId="0" xfId="0" applyAlignment="1" applyBorder="1" applyFont="1">
      <alignment vertical="bottom"/>
    </xf>
    <xf borderId="5" fillId="0" fontId="6" numFmtId="165" xfId="0" applyBorder="1" applyFont="1" applyNumberFormat="1"/>
    <xf borderId="9" fillId="0" fontId="3" numFmtId="165" xfId="0" applyBorder="1" applyFont="1" applyNumberFormat="1"/>
    <xf borderId="0" fillId="0" fontId="3" numFmtId="164" xfId="0" applyFont="1" applyNumberFormat="1"/>
  </cellXfs>
  <cellStyles count="1">
    <cellStyle xfId="0" name="Normal" builtinId="0"/>
  </cellStyles>
  <dxfs count="2">
    <dxf>
      <font>
        <color rgb="FFEA4335"/>
      </font>
      <fill>
        <patternFill patternType="none"/>
      </fill>
      <border/>
    </dxf>
    <dxf>
      <font>
        <color theme="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63"/>
    <col customWidth="1" min="4" max="4" width="13.75"/>
  </cols>
  <sheetData>
    <row r="1" ht="15.75" customHeight="1"/>
    <row r="2" ht="15.75" customHeight="1">
      <c r="B2" s="1" t="s">
        <v>0</v>
      </c>
      <c r="C2" s="2" t="s">
        <v>1</v>
      </c>
      <c r="D2" s="3" t="s">
        <v>2</v>
      </c>
      <c r="F2" s="4" t="s">
        <v>3</v>
      </c>
      <c r="G2" s="5"/>
    </row>
    <row r="3" ht="15.75" customHeight="1">
      <c r="B3" s="6" t="s">
        <v>4</v>
      </c>
      <c r="C3" s="7" t="s">
        <v>5</v>
      </c>
      <c r="D3" s="8" t="s">
        <v>2</v>
      </c>
      <c r="F3" s="9" t="s">
        <v>6</v>
      </c>
      <c r="G3" s="9" t="s">
        <v>7</v>
      </c>
    </row>
    <row r="4" ht="15.75" customHeight="1">
      <c r="B4" s="6" t="s">
        <v>8</v>
      </c>
      <c r="C4" s="7" t="s">
        <v>9</v>
      </c>
      <c r="D4" s="8" t="s">
        <v>10</v>
      </c>
      <c r="F4" s="9">
        <v>1.0</v>
      </c>
      <c r="G4" s="9">
        <f>F4*1000</f>
        <v>1000</v>
      </c>
    </row>
    <row r="5" ht="15.75" customHeight="1">
      <c r="B5" s="6" t="s">
        <v>11</v>
      </c>
      <c r="D5" s="8" t="s">
        <v>12</v>
      </c>
    </row>
    <row r="6" ht="15.75" customHeight="1">
      <c r="B6" s="10"/>
      <c r="C6" s="11"/>
      <c r="D6" s="12" t="s">
        <v>13</v>
      </c>
      <c r="F6" s="4" t="s">
        <v>14</v>
      </c>
      <c r="G6" s="5"/>
    </row>
    <row r="7" ht="15.75" customHeight="1">
      <c r="F7" s="9" t="s">
        <v>7</v>
      </c>
      <c r="G7" s="9" t="s">
        <v>6</v>
      </c>
    </row>
    <row r="8" ht="15.75" customHeight="1">
      <c r="F8" s="9">
        <v>500.0</v>
      </c>
      <c r="G8" s="9">
        <f>F8/1000</f>
        <v>0.5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G2"/>
    <mergeCell ref="F6:G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3.75"/>
    <col customWidth="1" min="4" max="4" width="17.5"/>
    <col customWidth="1" min="5" max="5" width="16.0"/>
    <col customWidth="1" min="6" max="6" width="13.38"/>
    <col customWidth="1" min="8" max="8" width="2.63"/>
    <col customWidth="1" min="9" max="9" width="23.75"/>
    <col customWidth="1" min="11" max="11" width="16.5"/>
    <col customWidth="1" min="12" max="12" width="16.0"/>
    <col customWidth="1" min="15" max="15" width="2.63"/>
    <col customWidth="1" min="16" max="16" width="23.75"/>
    <col customWidth="1" min="18" max="18" width="16.5"/>
    <col customWidth="1" min="19" max="19" width="16.0"/>
    <col customWidth="1" min="22" max="22" width="2.63"/>
    <col customWidth="1" min="23" max="23" width="23.75"/>
    <col customWidth="1" min="25" max="25" width="16.5"/>
    <col customWidth="1" min="26" max="26" width="16.0"/>
    <col customWidth="1" min="29" max="29" width="2.63"/>
    <col customWidth="1" min="30" max="30" width="23.75"/>
    <col customWidth="1" min="32" max="32" width="16.5"/>
    <col customWidth="1" min="33" max="33" width="16.0"/>
    <col customWidth="1" min="36" max="36" width="2.63"/>
  </cols>
  <sheetData>
    <row r="1" ht="15.75" customHeight="1">
      <c r="A1" s="13"/>
      <c r="H1" s="13"/>
      <c r="O1" s="13"/>
      <c r="V1" s="13"/>
      <c r="AC1" s="13"/>
      <c r="AJ1" s="13"/>
    </row>
    <row r="2" ht="15.75" customHeight="1">
      <c r="B2" s="14" t="s">
        <v>15</v>
      </c>
      <c r="C2" s="15"/>
      <c r="D2" s="15"/>
      <c r="E2" s="15"/>
      <c r="F2" s="15"/>
      <c r="G2" s="16"/>
      <c r="I2" s="14" t="s">
        <v>16</v>
      </c>
      <c r="J2" s="15"/>
      <c r="K2" s="15"/>
      <c r="L2" s="15"/>
      <c r="M2" s="15"/>
      <c r="N2" s="16"/>
      <c r="P2" s="14" t="s">
        <v>17</v>
      </c>
      <c r="Q2" s="15"/>
      <c r="R2" s="15"/>
      <c r="S2" s="15"/>
      <c r="T2" s="15"/>
      <c r="U2" s="16"/>
      <c r="W2" s="14" t="s">
        <v>18</v>
      </c>
      <c r="X2" s="15"/>
      <c r="Y2" s="15"/>
      <c r="Z2" s="15"/>
      <c r="AA2" s="15"/>
      <c r="AB2" s="16"/>
      <c r="AC2" s="13"/>
      <c r="AD2" s="14" t="s">
        <v>19</v>
      </c>
      <c r="AE2" s="15"/>
      <c r="AF2" s="15"/>
      <c r="AG2" s="15"/>
      <c r="AH2" s="15"/>
      <c r="AI2" s="16"/>
      <c r="AJ2" s="13"/>
    </row>
    <row r="3" ht="15.75" customHeight="1">
      <c r="B3" s="17">
        <v>3.14928473E8</v>
      </c>
      <c r="G3" s="18"/>
      <c r="I3" s="17">
        <v>1.108885639E9</v>
      </c>
      <c r="N3" s="18"/>
      <c r="P3" s="17">
        <v>6.21952741E8</v>
      </c>
      <c r="U3" s="18"/>
      <c r="W3" s="17">
        <v>9.03906814E8</v>
      </c>
      <c r="AB3" s="18"/>
      <c r="AC3" s="13"/>
      <c r="AD3" s="17">
        <v>1.27974596E8</v>
      </c>
      <c r="AI3" s="18"/>
      <c r="AJ3" s="13"/>
    </row>
    <row r="4" ht="15.75" customHeight="1">
      <c r="B4" s="19" t="s">
        <v>20</v>
      </c>
      <c r="E4" s="20">
        <f>G9</f>
        <v>45995</v>
      </c>
      <c r="G4" s="18"/>
      <c r="I4" s="19" t="s">
        <v>20</v>
      </c>
      <c r="L4" s="21">
        <f>N9</f>
        <v>45992</v>
      </c>
      <c r="N4" s="18"/>
      <c r="P4" s="19" t="s">
        <v>20</v>
      </c>
      <c r="S4" s="20">
        <f>U9</f>
        <v>46005</v>
      </c>
      <c r="U4" s="18"/>
      <c r="W4" s="19" t="s">
        <v>20</v>
      </c>
      <c r="Z4" s="20" t="str">
        <f>AB9</f>
        <v/>
      </c>
      <c r="AB4" s="18"/>
      <c r="AD4" s="19" t="s">
        <v>20</v>
      </c>
      <c r="AG4" s="20" t="str">
        <f>AI9</f>
        <v/>
      </c>
      <c r="AI4" s="18"/>
    </row>
    <row r="5" ht="15.75" customHeight="1">
      <c r="B5" s="19" t="s">
        <v>21</v>
      </c>
      <c r="E5" s="22">
        <f>IF(E4&lt;&gt;"",E4+30,"")</f>
        <v>46025</v>
      </c>
      <c r="G5" s="18"/>
      <c r="I5" s="19" t="s">
        <v>21</v>
      </c>
      <c r="L5" s="22">
        <f>IF(L4&lt;&gt;"",L4+30,"")</f>
        <v>46022</v>
      </c>
      <c r="N5" s="18"/>
      <c r="P5" s="19" t="s">
        <v>21</v>
      </c>
      <c r="S5" s="22">
        <f>IF(S4&lt;&gt;"",S4+30,"")</f>
        <v>46035</v>
      </c>
      <c r="U5" s="18"/>
      <c r="W5" s="19" t="s">
        <v>21</v>
      </c>
      <c r="Z5" s="22" t="str">
        <f>IF(Z4&lt;&gt;"",Z4+30,"")</f>
        <v/>
      </c>
      <c r="AB5" s="18"/>
      <c r="AD5" s="19" t="s">
        <v>21</v>
      </c>
      <c r="AG5" s="22" t="str">
        <f>IF(AG4&lt;&gt;"",AG4+30,"")</f>
        <v/>
      </c>
      <c r="AI5" s="18"/>
    </row>
    <row r="6" ht="15.75" customHeight="1">
      <c r="B6" s="23" t="s">
        <v>22</v>
      </c>
      <c r="D6" s="13" t="s">
        <v>23</v>
      </c>
      <c r="F6" s="13" t="s">
        <v>24</v>
      </c>
      <c r="G6" s="18"/>
      <c r="I6" s="23" t="s">
        <v>22</v>
      </c>
      <c r="K6" s="13" t="s">
        <v>23</v>
      </c>
      <c r="M6" s="13" t="s">
        <v>24</v>
      </c>
      <c r="N6" s="18"/>
      <c r="P6" s="23" t="s">
        <v>22</v>
      </c>
      <c r="R6" s="13" t="s">
        <v>23</v>
      </c>
      <c r="T6" s="13" t="s">
        <v>24</v>
      </c>
      <c r="U6" s="18"/>
      <c r="W6" s="23" t="s">
        <v>22</v>
      </c>
      <c r="Y6" s="13" t="s">
        <v>23</v>
      </c>
      <c r="AA6" s="13" t="s">
        <v>24</v>
      </c>
      <c r="AB6" s="18"/>
      <c r="AC6" s="13"/>
      <c r="AD6" s="23" t="s">
        <v>22</v>
      </c>
      <c r="AF6" s="13" t="s">
        <v>23</v>
      </c>
      <c r="AH6" s="13" t="s">
        <v>24</v>
      </c>
      <c r="AI6" s="18"/>
      <c r="AJ6" s="13"/>
    </row>
    <row r="7" ht="15.75" customHeight="1">
      <c r="B7" s="23">
        <f>28-SUM(IF(D9="Flower",C9,0), IF(D10="Flower",C10,0), IF(D11="Flower",C11,0), IF(D12="Flower",C12,0), IF(D13="Flower",C13,0), IF(D14="Flower",C14,0), IF(D15="Flower",C15,0), IF(D16="Flower",C16,0), IF(D17="Flower",C17,0), IF(D18="Flower",C18,0), IF(D19="Flower",C19,0), IF(D20="Flower",C20,0), IF(D21="Flower",C21,0), IF(D22="Flower",C22,0), IF(D23="Flower",C23,0), IF(D24="Flower",C24,0), IF(D25="Flower",C25,0), IF(D26="Flower",C26,0), IF(D27="Flower",C27,0), IF(D28="Flower",C28,0), IF(D29="Flower",C29,0), IF(D30="Flower",C30,0), IF(D31="Flower",C31,0), IF(D32="Flower",C32,0), IF(D33="Flower",C33,0), IF(D34="Flower",C34,0), IF(D35="Flower",C35,0), IF(D36="Flower",C36,0), IF(D37="Flower",C37,0), IF(D38="Flower",C38,0))</f>
        <v>2.5</v>
      </c>
      <c r="D7" s="13">
        <f>2000-SUM(IF(D9="Infused Product",C9,0), IF(D10="Infused Product",C10,0), IF(D11="Infused Product",C11,0), IF(D12="Infused Product",C12,0), IF(D13="Infused Product",C13,0), IF(D14="Infused Product",C14,0), IF(D15="Infused Product",C15,0), IF(D16="Infused Product",C16,0), IF(D17="Infused Product",C17,0), IF(D18="Infused Product",C18,0), IF(D19="Infused Product",C19,0), IF(D20="Infused Product",C20,0), IF(D21="Infused Product",C21,0), IF(D22="Infused Product",C22,0), IF(D23="Infused Product",C23,0), IF(D24="Infused Product",C24,0), IF(D25="Infused Product",C25,0), IF(D26="Infused Product",C26,0), IF(D27="Infused Product",C27,0), IF(D28="Infused Product",C28,0), IF(D29="Infused Product",C29,0), IF(D30="Infused Product",C30,0), IF(D31="Infused Product",C31,0), IF(D32="Infused Product",C32,0), IF(D33="Infused Product",C33,0), IF(D34="Infused Product",C34,0), IF(D35="Infused Product",C35,0), IF(D36="Infused Product",C36,0), IF(D37="Infused Product",C37,0), IF(D38="Infused Product",C38,0))</f>
        <v>1200</v>
      </c>
      <c r="F7" s="13">
        <f>6-SUM(IF(D9="Concentrate",C9,0), IF(D10="Concentrate",C10,0), IF(D11="Concentrate",C11,0), IF(D12="Concentrate",C12,0), IF(D13="Concentrate",C13,0), IF(D14="Concentrate",C14,0), IF(D15="Concentrate",C15,0), IF(D16="Concentrate",C16,0), IF(D17="Concentrate",C17,0), IF(D18="Concentrate",C18,0), IF(D19="Concentrate",C19,0), IF(D20="Concentrate",C20,0), IF(D21="Concentrate",C21,0), IF(D22="Concentrate",C22,0), IF(D23="Concentrate",C23,0), IF(D24="Concentrate",C24,0), IF(D25="Concentrate",C25,0), IF(D26="Concentrate",C26,0), IF(D27="Concentrate",C27,0), IF(D28="Concentrate",C28,0), IF(D29="Concentrate",C29,0), IF(D30="Concentrate",C30,0), IF(D31="Concentrate",C31,0), IF(D32="Concentrate",C32,0), IF(D33="Concentrate",C33,0), IF(D34="Concentrate",C34,0), IF(D35="Concentrate",C35,0), IF(D36="Concentrate",C36,0), IF(D37="Concentrate",C37,0), IF(D38="Concentrate",C38,0))</f>
        <v>4</v>
      </c>
      <c r="G7" s="18"/>
      <c r="I7" s="23">
        <f>28-SUM(IF(K9="Flower",J9,0), IF(K10="Flower",J10,0), IF(K11="Flower",J11,0), IF(K12="Flower",J12,0), IF(K13="Flower",J13,0), IF(K14="Flower",J14,0), IF(K15="Flower",J15,0), IF(K16="Flower",J16,0), IF(K17="Flower",J17,0), IF(K18="Flower",J18,0), IF(K19="Flower",J19,0), IF(K20="Flower",J20,0), IF(K21="Flower",J21,0), IF(K22="Flower",J22,0), IF(K23="Flower",J23,0), IF(K24="Flower",J24,0), IF(K25="Flower",J25,0), IF(K26="Flower",J26,0), IF(K27="Flower",J27,0), IF(K28="Flower",J28,0), IF(K29="Flower",J29,0), IF(K30="Flower",J30,0), IF(K31="Flower",J31,0), IF(K32="Flower",J32,0), IF(K33="Flower",J33,0), IF(K34="Flower",J34,0), IF(K35="Flower",J35,0), IF(K36="Flower",J36,0), IF(K37="Flower",J37,0), IF(K38="Flower",J38,0))</f>
        <v>14</v>
      </c>
      <c r="K7" s="13">
        <f>2000-SUM(IF(K9="Infused Product",J9,0), IF(K10="Infused Product",J10,0), IF(K11="Infused Product",J11,0), IF(K12="Infused Product",J12,0), IF(K13="Infused Product",J13,0), IF(K14="Infused Product",J14,0), IF(K15="Infused Product",J15,0), IF(K16="Infused Product",J16,0), IF(K17="Infused Product",J17,0), IF(K18="Infused Product",J18,0), IF(K19="Infused Product",J19,0), IF(K20="Infused Product",J20,0), IF(K21="Infused Product",J21,0), IF(K22="Infused Product",J22,0), IF(K23="Infused Product",J23,0), IF(K24="Infused Product",J24,0), IF(K25="Infused Product",J25,0), IF(K26="Infused Product",J26,0), IF(K27="Infused Product",J27,0), IF(K28="Infused Product",J28,0), IF(K29="Infused Product",J29,0), IF(K30="Infused Product",J30,0), IF(K31="Infused Product",J31,0), IF(K32="Infused Product",J32,0), IF(K33="Infused Product",J33,0), IF(K34="Infused Product",J34,0), IF(K35="Infused Product",J35,0), IF(K36="Infused Product",J36,0), IF(K37="Infused Product",J37,0), IF(K38="Infused Product",J38,0))</f>
        <v>1800</v>
      </c>
      <c r="M7" s="13">
        <f>6-SUM(IF(K9="Concentrate",J9,0), IF(K10="Concentrate",J10,0), IF(K11="Concentrate",J11,0), IF(K12="Concentrate",J12,0), IF(K13="Concentrate",J13,0), IF(K14="Concentrate",J14,0), IF(K15="Concentrate",J15,0), IF(K16="Concentrate",J16,0), IF(K17="Concentrate",J17,0), IF(K18="Concentrate",J18,0), IF(K19="Concentrate",J19,0), IF(K20="Concentrate",J20,0), IF(K21="Concentrate",J21,0), IF(K22="Concentrate",J22,0), IF(K23="Concentrate",J23,0), IF(K24="Concentrate",J24,0), IF(K25="Concentrate",J25,0), IF(K26="Concentrate",J26,0), IF(K27="Concentrate",J27,0), IF(K28="Concentrate",J28,0), IF(K29="Concentrate",J29,0), IF(K30="Concentrate",J30,0), IF(K31="Concentrate",J31,0), IF(K32="Concentrate",J32,0), IF(K33="Concentrate",J33,0), IF(K34="Concentrate",J34,0), IF(K35="Concentrate",J35,0), IF(K36="Concentrate",J36,0), IF(K37="Concentrate",J37,0), IF(K38="Concentrate",J38,0))</f>
        <v>5</v>
      </c>
      <c r="N7" s="18"/>
      <c r="P7" s="23">
        <f>28-SUM(IF(R9="Flower",Q9,0), IF(R10="Flower",Q10,0), IF(R11="Flower",Q11,0), IF(R12="Flower",Q12,0), IF(R13="Flower",Q13,0), IF(R14="Flower",Q14,0), IF(R15="Flower",Q15,0), IF(R16="Flower",Q16,0), IF(R17="Flower",Q17,0), IF(R18="Flower",Q18,0), IF(R19="Flower",Q19,0), IF(R20="Flower",Q20,0), IF(R21="Flower",Q21,0), IF(R22="Flower",Q22,0), IF(R23="Flower",Q23,0), IF(R24="Flower",Q24,0), IF(R25="Flower",Q25,0), IF(R26="Flower",Q26,0), IF(R27="Flower",Q27,0), IF(R28="Flower",Q28,0), IF(R29="Flower",Q29,0), IF(R30="Flower",Q30,0), IF(R31="Flower",Q31,0), IF(R32="Flower",Q32,0), IF(R33="Flower",Q33,0), IF(R34="Flower",Q34,0), IF(R35="Flower",Q35,0), IF(R36="Flower",Q36,0), IF(R37="Flower",Q37,0), IF(R38="Flower",Q38,0))</f>
        <v>22</v>
      </c>
      <c r="R7" s="13">
        <f>2000-SUM(IF(R9="Infused Product",Q9,0), IF(R10="Infused Product",Q10,0), IF(R11="Infused Product",Q11,0), IF(R12="Infused Product",Q12,0), IF(R13="Infused Product",Q13,0), IF(R14="Infused Product",Q14,0), IF(R15="Infused Product",Q15,0), IF(R16="Infused Product",Q16,0), IF(R17="Infused Product",Q17,0), IF(R18="Infused Product",Q18,0), IF(R19="Infused Product",Q19,0), IF(R20="Infused Product",Q20,0), IF(R21="Infused Product",Q21,0), IF(R22="Infused Product",Q22,0), IF(R23="Infused Product",Q23,0), IF(R24="Infused Product",Q24,0), IF(R25="Infused Product",Q25,0), IF(R26="Infused Product",Q26,0), IF(R27="Infused Product",Q27,0), IF(R28="Infused Product",Q28,0), IF(R29="Infused Product",Q29,0), IF(R30="Infused Product",Q30,0), IF(R31="Infused Product",Q31,0), IF(R32="Infused Product",Q32,0), IF(R33="Infused Product",Q33,0), IF(R34="Infused Product",Q34,0), IF(R35="Infused Product",Q35,0), IF(R36="Infused Product",Q36,0), IF(R37="Infused Product",Q37,0), IF(R38="Infused Product",Q38,0))</f>
        <v>1800</v>
      </c>
      <c r="T7" s="13">
        <f>6-SUM(IF(R9="Concentrate",Q9,0), IF(R10="Concentrate",Q10,0), IF(R11="Concentrate",Q11,0), IF(R12="Concentrate",Q12,0), IF(R13="Concentrate",Q13,0), IF(R14="Concentrate",Q14,0), IF(R15="Concentrate",Q15,0), IF(R16="Concentrate",Q16,0), IF(R17="Concentrate",Q17,0), IF(R18="Concentrate",Q18,0), IF(R19="Concentrate",Q19,0), IF(R20="Concentrate",Q20,0), IF(R21="Concentrate",Q21,0), IF(R22="Concentrate",Q22,0), IF(R23="Concentrate",Q23,0), IF(R24="Concentrate",Q24,0), IF(R25="Concentrate",Q25,0), IF(R26="Concentrate",Q26,0), IF(R27="Concentrate",Q27,0), IF(R28="Concentrate",Q28,0), IF(R29="Concentrate",Q29,0), IF(R30="Concentrate",Q30,0), IF(R31="Concentrate",Q31,0), IF(R32="Concentrate",Q32,0), IF(R33="Concentrate",Q33,0), IF(R34="Concentrate",Q34,0), IF(R35="Concentrate",Q35,0), IF(R36="Concentrate",Q36,0), IF(R37="Concentrate",Q37,0), IF(R38="Concentrate",Q38,0))</f>
        <v>6</v>
      </c>
      <c r="U7" s="18"/>
      <c r="W7" s="23">
        <f>28-SUM(IF(Y9="Flower",X9,0), IF(Y10="Flower",X10,0), IF(Y11="Flower",X11,0), IF(Y12="Flower",X12,0), IF(Y13="Flower",X13,0), IF(Y14="Flower",X14,0), IF(Y15="Flower",X15,0), IF(Y16="Flower",X16,0), IF(Y17="Flower",X17,0), IF(Y18="Flower",X18,0), IF(Y19="Flower",X19,0), IF(Y20="Flower",X20,0), IF(Y21="Flower",X21,0), IF(Y22="Flower",X22,0), IF(Y23="Flower",X23,0), IF(Y24="Flower",X24,0), IF(Y25="Flower",X25,0), IF(Y26="Flower",X26,0), IF(Y27="Flower",X27,0), IF(Y28="Flower",X28,0), IF(Y29="Flower",X29,0), IF(Y30="Flower",X30,0), IF(Y31="Flower",X31,0), IF(Y32="Flower",X32,0), IF(Y33="Flower",X33,0), IF(Y34="Flower",X34,0), IF(Y35="Flower",X35,0), IF(Y36="Flower",X36,0), IF(Y37="Flower",X37,0), IF(Y38="Flower",X38,0))</f>
        <v>28</v>
      </c>
      <c r="Y7" s="13">
        <f>2000-SUM(IF(Y9="Infused Product",X9,0), IF(Y10="Infused Product",X10,0), IF(Y11="Infused Product",X11,0), IF(Y12="Infused Product",X12,0), IF(Y13="Infused Product",X13,0), IF(Y14="Infused Product",X14,0), IF(Y15="Infused Product",X15,0), IF(Y16="Infused Product",X16,0), IF(Y17="Infused Product",X17,0), IF(Y18="Infused Product",X18,0), IF(Y19="Infused Product",X19,0), IF(Y20="Infused Product",X20,0), IF(Y21="Infused Product",X21,0), IF(Y22="Infused Product",X22,0), IF(Y23="Infused Product",X23,0), IF(Y24="Infused Product",X24,0), IF(Y25="Infused Product",X25,0), IF(Y26="Infused Product",X26,0), IF(Y27="Infused Product",X27,0), IF(Y28="Infused Product",X28,0), IF(Y29="Infused Product",X29,0), IF(Y30="Infused Product",X30,0), IF(Y31="Infused Product",X31,0), IF(Y32="Infused Product",X32,0), IF(Y33="Infused Product",X33,0), IF(Y34="Infused Product",X34,0), IF(Y35="Infused Product",X35,0), IF(Y36="Infused Product",X36,0), IF(Y37="Infused Product",X37,0), IF(Y38="Infused Product",X38,0))</f>
        <v>2000</v>
      </c>
      <c r="AA7" s="13">
        <f>6-SUM(IF(Y9="Concentrate",X9,0), IF(Y10="Concentrate",X10,0), IF(Y11="Concentrate",X11,0), IF(Y12="Concentrate",X12,0), IF(Y13="Concentrate",X13,0), IF(Y14="Concentrate",X14,0), IF(Y15="Concentrate",X15,0), IF(Y16="Concentrate",X16,0), IF(Y17="Concentrate",X17,0), IF(Y18="Concentrate",X18,0), IF(Y19="Concentrate",X19,0), IF(Y20="Concentrate",X20,0), IF(Y21="Concentrate",X21,0), IF(Y22="Concentrate",X22,0), IF(Y23="Concentrate",X23,0), IF(Y24="Concentrate",X24,0), IF(Y25="Concentrate",X25,0), IF(Y26="Concentrate",X26,0), IF(Y27="Concentrate",X27,0), IF(Y28="Concentrate",X28,0), IF(Y29="Concentrate",X29,0), IF(Y30="Concentrate",X30,0), IF(Y31="Concentrate",X31,0), IF(Y32="Concentrate",X32,0), IF(Y33="Concentrate",X33,0), IF(Y34="Concentrate",X34,0), IF(Y35="Concentrate",X35,0), IF(Y36="Concentrate",X36,0), IF(Y37="Concentrate",X37,0), IF(Y38="Concentrate",X38,0))</f>
        <v>6</v>
      </c>
      <c r="AB7" s="18"/>
      <c r="AC7" s="13"/>
      <c r="AD7" s="23">
        <f>28-SUM(IF(AF9="Flower",AE9,0), IF(AF10="Flower",AE10,0), IF(AF11="Flower",AE11,0), IF(AF12="Flower",AE12,0), IF(AF13="Flower",AE13,0), IF(AF14="Flower",AE14,0), IF(AF15="Flower",AE15,0), IF(AF16="Flower",AE16,0), IF(AF17="Flower",AE17,0), IF(AF18="Flower",AE18,0), IF(AF19="Flower",AE19,0), IF(AF20="Flower",AE20,0), IF(AF21="Flower",AE21,0), IF(AF22="Flower",AE22,0), IF(AF23="Flower",AE23,0), IF(AF24="Flower",AE24,0), IF(AF25="Flower",AE25,0), IF(AF26="Flower",AE26,0), IF(AF27="Flower",AE27,0), IF(AF28="Flower",AE28,0), IF(AF29="Flower",AE29,0), IF(AF30="Flower",AE30,0), IF(AF31="Flower",AE31,0), IF(AF32="Flower",AE32,0), IF(AF33="Flower",AE33,0), IF(AF34="Flower",AE34,0), IF(AF35="Flower",AE35,0), IF(AF36="Flower",AE36,0), IF(AF37="Flower",AE37,0), IF(AF38="Flower",AE38,0))</f>
        <v>28</v>
      </c>
      <c r="AF7" s="13">
        <f>2000-SUM(IF(AF9="Infused Product",AE9,0), IF(AF10="Infused Product",AE10,0), IF(AF11="Infused Product",AE11,0), IF(AF12="Infused Product",AE12,0), IF(AF13="Infused Product",AE13,0), IF(AF14="Infused Product",AE14,0), IF(AF15="Infused Product",AE15,0), IF(AF16="Infused Product",AE16,0), IF(AF17="Infused Product",AE17,0), IF(AF18="Infused Product",AE18,0), IF(AF19="Infused Product",AE19,0), IF(AF20="Infused Product",AE20,0), IF(AF21="Infused Product",AE21,0), IF(AF22="Infused Product",AE22,0), IF(AF23="Infused Product",AE23,0), IF(AF24="Infused Product",AE24,0), IF(AF25="Infused Product",AE25,0), IF(AF26="Infused Product",AE26,0), IF(AF27="Infused Product",AE27,0), IF(AF28="Infused Product",AE28,0), IF(AF29="Infused Product",AE29,0), IF(AF30="Infused Product",AE30,0), IF(AF31="Infused Product",AE31,0), IF(AF32="Infused Product",AE32,0), IF(AF33="Infused Product",AE33,0), IF(AF34="Infused Product",AE34,0), IF(AF35="Infused Product",AE35,0), IF(AF36="Infused Product",AE36,0), IF(AF37="Infused Product",AE37,0), IF(AF38="Infused Product",AE38,0))</f>
        <v>2000</v>
      </c>
      <c r="AH7" s="13">
        <f>6-SUM(IF(AF9="Concentrate",AE9,0), IF(AF10="Concentrate",AE10,0), IF(AF11="Concentrate",AE11,0), IF(AF12="Concentrate",AE12,0), IF(AF13="Concentrate",AE13,0), IF(AF14="Concentrate",AE14,0), IF(AF15="Concentrate",AE15,0), IF(AF16="Concentrate",AE16,0), IF(AF17="Concentrate",AE17,0), IF(AF18="Concentrate",AE18,0), IF(AF19="Concentrate",AE19,0), IF(AF20="Concentrate",AE20,0), IF(AF21="Concentrate",AE21,0), IF(AF22="Concentrate",AE22,0), IF(AF23="Concentrate",AE23,0), IF(AF24="Concentrate",AE24,0), IF(AF25="Concentrate",AE25,0), IF(AF26="Concentrate",AE26,0), IF(AF27="Concentrate",AE27,0), IF(AF28="Concentrate",AE28,0), IF(AF29="Concentrate",AE29,0), IF(AF30="Concentrate",AE30,0), IF(AF31="Concentrate",AE31,0), IF(AF32="Concentrate",AE32,0), IF(AF33="Concentrate",AE33,0), IF(AF34="Concentrate",AE34,0), IF(AF35="Concentrate",AE35,0), IF(AF36="Concentrate",AE36,0), IF(AF37="Concentrate",AE37,0), IF(AF38="Concentrate",AE38,0))</f>
        <v>6</v>
      </c>
      <c r="AI7" s="18"/>
      <c r="AJ7" s="13"/>
    </row>
    <row r="8" ht="15.75" customHeight="1">
      <c r="B8" s="24" t="s">
        <v>25</v>
      </c>
      <c r="C8" s="25" t="s">
        <v>26</v>
      </c>
      <c r="D8" s="25" t="s">
        <v>27</v>
      </c>
      <c r="E8" s="25" t="s">
        <v>28</v>
      </c>
      <c r="F8" s="25" t="s">
        <v>29</v>
      </c>
      <c r="G8" s="26" t="s">
        <v>30</v>
      </c>
      <c r="I8" s="24" t="s">
        <v>25</v>
      </c>
      <c r="J8" s="25" t="s">
        <v>26</v>
      </c>
      <c r="K8" s="25" t="s">
        <v>27</v>
      </c>
      <c r="L8" s="25" t="s">
        <v>28</v>
      </c>
      <c r="M8" s="25" t="s">
        <v>29</v>
      </c>
      <c r="N8" s="26" t="s">
        <v>30</v>
      </c>
      <c r="P8" s="24" t="s">
        <v>25</v>
      </c>
      <c r="Q8" s="25" t="s">
        <v>26</v>
      </c>
      <c r="R8" s="25" t="s">
        <v>27</v>
      </c>
      <c r="S8" s="25" t="s">
        <v>28</v>
      </c>
      <c r="T8" s="25" t="s">
        <v>29</v>
      </c>
      <c r="U8" s="26" t="s">
        <v>30</v>
      </c>
      <c r="W8" s="24" t="s">
        <v>25</v>
      </c>
      <c r="X8" s="25" t="s">
        <v>26</v>
      </c>
      <c r="Y8" s="25" t="s">
        <v>27</v>
      </c>
      <c r="Z8" s="25" t="s">
        <v>28</v>
      </c>
      <c r="AA8" s="25" t="s">
        <v>29</v>
      </c>
      <c r="AB8" s="26" t="s">
        <v>30</v>
      </c>
      <c r="AC8" s="7"/>
      <c r="AD8" s="24" t="s">
        <v>25</v>
      </c>
      <c r="AE8" s="25" t="s">
        <v>26</v>
      </c>
      <c r="AF8" s="25" t="s">
        <v>27</v>
      </c>
      <c r="AG8" s="25" t="s">
        <v>28</v>
      </c>
      <c r="AH8" s="25" t="s">
        <v>29</v>
      </c>
      <c r="AI8" s="26" t="s">
        <v>30</v>
      </c>
      <c r="AJ8" s="7"/>
    </row>
    <row r="9" ht="15.75" customHeight="1">
      <c r="B9" s="27" t="s">
        <v>31</v>
      </c>
      <c r="C9" s="28">
        <v>3.5</v>
      </c>
      <c r="D9" s="29" t="s">
        <v>0</v>
      </c>
      <c r="E9" s="28">
        <v>1.0</v>
      </c>
      <c r="F9" s="30" t="s">
        <v>32</v>
      </c>
      <c r="G9" s="31">
        <v>45995.0</v>
      </c>
      <c r="I9" s="32" t="s">
        <v>33</v>
      </c>
      <c r="J9" s="33">
        <v>200.0</v>
      </c>
      <c r="K9" s="34" t="s">
        <v>1</v>
      </c>
      <c r="L9" s="33">
        <v>1.0</v>
      </c>
      <c r="M9" s="34" t="s">
        <v>32</v>
      </c>
      <c r="N9" s="31">
        <v>45992.0</v>
      </c>
      <c r="P9" s="32" t="s">
        <v>34</v>
      </c>
      <c r="Q9" s="33">
        <v>6.0</v>
      </c>
      <c r="R9" s="34" t="s">
        <v>0</v>
      </c>
      <c r="S9" s="33">
        <v>6.0</v>
      </c>
      <c r="T9" s="34" t="s">
        <v>32</v>
      </c>
      <c r="U9" s="31">
        <v>46005.0</v>
      </c>
      <c r="W9" s="35"/>
      <c r="X9" s="36"/>
      <c r="Y9" s="7"/>
      <c r="AA9" s="7"/>
      <c r="AB9" s="37"/>
      <c r="AC9" s="38"/>
      <c r="AD9" s="35"/>
      <c r="AE9" s="36"/>
      <c r="AF9" s="7"/>
      <c r="AH9" s="7"/>
      <c r="AI9" s="37"/>
      <c r="AJ9" s="38"/>
    </row>
    <row r="10" ht="15.75" customHeight="1">
      <c r="B10" s="32" t="s">
        <v>33</v>
      </c>
      <c r="C10" s="33">
        <v>200.0</v>
      </c>
      <c r="D10" s="34" t="s">
        <v>1</v>
      </c>
      <c r="E10" s="33">
        <v>1.0</v>
      </c>
      <c r="F10" s="34" t="s">
        <v>32</v>
      </c>
      <c r="G10" s="31">
        <v>45995.0</v>
      </c>
      <c r="I10" s="32" t="s">
        <v>35</v>
      </c>
      <c r="J10" s="33">
        <v>14.0</v>
      </c>
      <c r="K10" s="34" t="s">
        <v>0</v>
      </c>
      <c r="L10" s="33">
        <v>14.0</v>
      </c>
      <c r="M10" s="34" t="s">
        <v>6</v>
      </c>
      <c r="N10" s="31">
        <v>46005.0</v>
      </c>
      <c r="P10" s="32" t="s">
        <v>36</v>
      </c>
      <c r="Q10" s="33">
        <v>200.0</v>
      </c>
      <c r="R10" s="34" t="s">
        <v>1</v>
      </c>
      <c r="S10" s="33">
        <v>1.0</v>
      </c>
      <c r="T10" s="34" t="s">
        <v>32</v>
      </c>
      <c r="U10" s="31">
        <v>46005.0</v>
      </c>
      <c r="W10" s="39"/>
      <c r="X10" s="36"/>
      <c r="Y10" s="7"/>
      <c r="AA10" s="7"/>
      <c r="AB10" s="37"/>
      <c r="AC10" s="38"/>
      <c r="AD10" s="39"/>
      <c r="AE10" s="36"/>
      <c r="AF10" s="7"/>
      <c r="AH10" s="7"/>
      <c r="AI10" s="37"/>
      <c r="AJ10" s="38"/>
    </row>
    <row r="11" ht="15.75" customHeight="1">
      <c r="B11" s="32" t="s">
        <v>37</v>
      </c>
      <c r="C11" s="33">
        <v>2.0</v>
      </c>
      <c r="D11" s="34" t="s">
        <v>2</v>
      </c>
      <c r="E11" s="33">
        <v>1.0</v>
      </c>
      <c r="F11" s="34" t="s">
        <v>32</v>
      </c>
      <c r="G11" s="31">
        <v>46005.0</v>
      </c>
      <c r="I11" s="33" t="s">
        <v>38</v>
      </c>
      <c r="J11" s="33">
        <v>1.0</v>
      </c>
      <c r="K11" s="34" t="s">
        <v>2</v>
      </c>
      <c r="L11" s="33">
        <v>1.0</v>
      </c>
      <c r="M11" s="34" t="s">
        <v>32</v>
      </c>
      <c r="N11" s="31">
        <v>46005.0</v>
      </c>
      <c r="P11" s="6"/>
      <c r="R11" s="7"/>
      <c r="T11" s="7"/>
      <c r="U11" s="37"/>
      <c r="W11" s="39"/>
      <c r="X11" s="36"/>
      <c r="Y11" s="7"/>
      <c r="AA11" s="7"/>
      <c r="AB11" s="37"/>
      <c r="AC11" s="38"/>
      <c r="AD11" s="39"/>
      <c r="AE11" s="36"/>
      <c r="AF11" s="7"/>
      <c r="AH11" s="7"/>
      <c r="AI11" s="37"/>
      <c r="AJ11" s="38"/>
    </row>
    <row r="12" ht="15.75" customHeight="1">
      <c r="B12" s="32" t="s">
        <v>34</v>
      </c>
      <c r="C12" s="33">
        <v>1.0</v>
      </c>
      <c r="D12" s="34" t="s">
        <v>0</v>
      </c>
      <c r="E12" s="33">
        <v>1.0</v>
      </c>
      <c r="F12" s="34" t="s">
        <v>32</v>
      </c>
      <c r="G12" s="31">
        <v>46005.0</v>
      </c>
      <c r="I12" s="6"/>
      <c r="K12" s="7"/>
      <c r="M12" s="7"/>
      <c r="N12" s="37"/>
      <c r="P12" s="6"/>
      <c r="R12" s="7"/>
      <c r="T12" s="7"/>
      <c r="U12" s="37"/>
      <c r="W12" s="35"/>
      <c r="X12" s="36"/>
      <c r="Y12" s="7"/>
      <c r="AA12" s="7"/>
      <c r="AB12" s="37"/>
      <c r="AC12" s="38"/>
      <c r="AD12" s="39"/>
      <c r="AE12" s="36"/>
      <c r="AF12" s="7"/>
      <c r="AH12" s="7"/>
      <c r="AI12" s="37"/>
      <c r="AJ12" s="38"/>
    </row>
    <row r="13" ht="15.75" customHeight="1">
      <c r="B13" s="32" t="s">
        <v>36</v>
      </c>
      <c r="C13" s="33">
        <v>600.0</v>
      </c>
      <c r="D13" s="34" t="s">
        <v>1</v>
      </c>
      <c r="E13" s="33">
        <v>3.0</v>
      </c>
      <c r="F13" s="34" t="s">
        <v>32</v>
      </c>
      <c r="G13" s="31">
        <v>46005.0</v>
      </c>
      <c r="I13" s="6"/>
      <c r="K13" s="7"/>
      <c r="M13" s="7"/>
      <c r="N13" s="37"/>
      <c r="P13" s="6"/>
      <c r="R13" s="7"/>
      <c r="T13" s="7"/>
      <c r="U13" s="37"/>
      <c r="W13" s="39"/>
      <c r="X13" s="36"/>
      <c r="Y13" s="7"/>
      <c r="AA13" s="7"/>
      <c r="AB13" s="37"/>
      <c r="AC13" s="38"/>
      <c r="AD13" s="39"/>
      <c r="AE13" s="36"/>
      <c r="AF13" s="7"/>
      <c r="AH13" s="7"/>
      <c r="AI13" s="37"/>
      <c r="AJ13" s="38"/>
    </row>
    <row r="14" ht="15.75" customHeight="1">
      <c r="B14" s="32" t="s">
        <v>39</v>
      </c>
      <c r="C14" s="33">
        <v>7.0</v>
      </c>
      <c r="D14" s="34" t="s">
        <v>0</v>
      </c>
      <c r="E14" s="33">
        <v>2.0</v>
      </c>
      <c r="F14" s="34" t="s">
        <v>32</v>
      </c>
      <c r="G14" s="31">
        <v>46005.0</v>
      </c>
      <c r="I14" s="6"/>
      <c r="K14" s="7"/>
      <c r="M14" s="7"/>
      <c r="N14" s="37"/>
      <c r="P14" s="6"/>
      <c r="R14" s="7"/>
      <c r="T14" s="7"/>
      <c r="U14" s="37"/>
      <c r="W14" s="39"/>
      <c r="Y14" s="7"/>
      <c r="AA14" s="7"/>
      <c r="AB14" s="37"/>
      <c r="AC14" s="38"/>
      <c r="AD14" s="39"/>
      <c r="AE14" s="36"/>
      <c r="AF14" s="7"/>
      <c r="AH14" s="7"/>
      <c r="AI14" s="37"/>
      <c r="AJ14" s="38"/>
    </row>
    <row r="15" ht="15.75" customHeight="1">
      <c r="B15" s="32" t="s">
        <v>35</v>
      </c>
      <c r="C15" s="33">
        <v>14.0</v>
      </c>
      <c r="D15" s="34" t="s">
        <v>0</v>
      </c>
      <c r="E15" s="33">
        <v>14.0</v>
      </c>
      <c r="F15" s="34" t="s">
        <v>6</v>
      </c>
      <c r="G15" s="31">
        <v>46005.0</v>
      </c>
      <c r="I15" s="6"/>
      <c r="K15" s="7"/>
      <c r="M15" s="7"/>
      <c r="N15" s="37"/>
      <c r="P15" s="6"/>
      <c r="R15" s="7"/>
      <c r="T15" s="7"/>
      <c r="U15" s="37"/>
      <c r="W15" s="39"/>
      <c r="Y15" s="7"/>
      <c r="AA15" s="7"/>
      <c r="AB15" s="37"/>
      <c r="AC15" s="38"/>
      <c r="AD15" s="39"/>
      <c r="AE15" s="36"/>
      <c r="AF15" s="7"/>
      <c r="AH15" s="7"/>
      <c r="AI15" s="37"/>
      <c r="AJ15" s="38"/>
    </row>
    <row r="16" ht="15.75" customHeight="1">
      <c r="B16" s="6"/>
      <c r="D16" s="7"/>
      <c r="F16" s="7"/>
      <c r="G16" s="37"/>
      <c r="I16" s="6"/>
      <c r="K16" s="7"/>
      <c r="M16" s="7"/>
      <c r="N16" s="37"/>
      <c r="P16" s="6"/>
      <c r="R16" s="7"/>
      <c r="T16" s="7"/>
      <c r="U16" s="37"/>
      <c r="W16" s="6"/>
      <c r="Y16" s="7"/>
      <c r="AA16" s="7"/>
      <c r="AB16" s="40"/>
      <c r="AC16" s="38"/>
      <c r="AD16" s="39"/>
      <c r="AE16" s="36"/>
      <c r="AF16" s="7"/>
      <c r="AH16" s="7"/>
      <c r="AI16" s="37"/>
      <c r="AJ16" s="38"/>
    </row>
    <row r="17" ht="15.75" customHeight="1">
      <c r="B17" s="6"/>
      <c r="D17" s="7"/>
      <c r="F17" s="7"/>
      <c r="G17" s="37"/>
      <c r="I17" s="6"/>
      <c r="K17" s="7"/>
      <c r="M17" s="7"/>
      <c r="N17" s="37"/>
      <c r="P17" s="6"/>
      <c r="R17" s="7"/>
      <c r="T17" s="7"/>
      <c r="U17" s="37"/>
      <c r="W17" s="6"/>
      <c r="Y17" s="7"/>
      <c r="AA17" s="7"/>
      <c r="AB17" s="40"/>
      <c r="AC17" s="38"/>
      <c r="AD17" s="39"/>
      <c r="AE17" s="36"/>
      <c r="AF17" s="7"/>
      <c r="AH17" s="7"/>
      <c r="AI17" s="37"/>
      <c r="AJ17" s="38"/>
    </row>
    <row r="18" ht="15.75" customHeight="1">
      <c r="B18" s="6"/>
      <c r="D18" s="7"/>
      <c r="F18" s="7"/>
      <c r="G18" s="37"/>
      <c r="I18" s="6"/>
      <c r="K18" s="7"/>
      <c r="M18" s="7"/>
      <c r="N18" s="37"/>
      <c r="P18" s="6"/>
      <c r="R18" s="7"/>
      <c r="T18" s="7"/>
      <c r="U18" s="37"/>
      <c r="W18" s="6"/>
      <c r="Y18" s="7"/>
      <c r="AA18" s="7"/>
      <c r="AB18" s="40"/>
      <c r="AC18" s="38"/>
      <c r="AD18" s="39"/>
      <c r="AE18" s="36"/>
      <c r="AF18" s="7"/>
      <c r="AH18" s="7"/>
      <c r="AI18" s="37"/>
      <c r="AJ18" s="38"/>
    </row>
    <row r="19" ht="15.75" customHeight="1">
      <c r="B19" s="6"/>
      <c r="D19" s="7"/>
      <c r="F19" s="7"/>
      <c r="G19" s="37"/>
      <c r="I19" s="6"/>
      <c r="K19" s="7"/>
      <c r="M19" s="7"/>
      <c r="N19" s="37"/>
      <c r="P19" s="6"/>
      <c r="R19" s="7"/>
      <c r="T19" s="7"/>
      <c r="U19" s="37"/>
      <c r="W19" s="6"/>
      <c r="Y19" s="7"/>
      <c r="AA19" s="7"/>
      <c r="AB19" s="40"/>
      <c r="AC19" s="38"/>
      <c r="AD19" s="39"/>
      <c r="AE19" s="36"/>
      <c r="AF19" s="7"/>
      <c r="AH19" s="7"/>
      <c r="AI19" s="37"/>
      <c r="AJ19" s="38"/>
    </row>
    <row r="20" ht="15.75" customHeight="1">
      <c r="B20" s="6"/>
      <c r="D20" s="7"/>
      <c r="F20" s="7"/>
      <c r="G20" s="37"/>
      <c r="I20" s="6"/>
      <c r="K20" s="7"/>
      <c r="M20" s="7"/>
      <c r="N20" s="37"/>
      <c r="P20" s="6"/>
      <c r="R20" s="7"/>
      <c r="T20" s="7"/>
      <c r="U20" s="37"/>
      <c r="W20" s="6"/>
      <c r="Y20" s="7"/>
      <c r="AA20" s="7"/>
      <c r="AB20" s="37"/>
      <c r="AC20" s="38"/>
      <c r="AD20" s="39"/>
      <c r="AE20" s="36"/>
      <c r="AF20" s="7"/>
      <c r="AH20" s="7"/>
      <c r="AI20" s="37"/>
      <c r="AJ20" s="38"/>
    </row>
    <row r="21" ht="15.75" customHeight="1">
      <c r="B21" s="6"/>
      <c r="D21" s="7"/>
      <c r="F21" s="7"/>
      <c r="G21" s="37"/>
      <c r="I21" s="6"/>
      <c r="K21" s="7"/>
      <c r="M21" s="7"/>
      <c r="N21" s="37"/>
      <c r="P21" s="6"/>
      <c r="R21" s="7"/>
      <c r="T21" s="7"/>
      <c r="U21" s="37"/>
      <c r="W21" s="6"/>
      <c r="Y21" s="7"/>
      <c r="AA21" s="7"/>
      <c r="AB21" s="37"/>
      <c r="AC21" s="38"/>
      <c r="AD21" s="39"/>
      <c r="AE21" s="36"/>
      <c r="AF21" s="7"/>
      <c r="AH21" s="7"/>
      <c r="AI21" s="37"/>
      <c r="AJ21" s="38"/>
    </row>
    <row r="22" ht="15.75" customHeight="1">
      <c r="B22" s="6"/>
      <c r="D22" s="7"/>
      <c r="F22" s="7"/>
      <c r="G22" s="37"/>
      <c r="I22" s="6"/>
      <c r="K22" s="7"/>
      <c r="M22" s="7"/>
      <c r="N22" s="37"/>
      <c r="P22" s="6"/>
      <c r="R22" s="7"/>
      <c r="T22" s="7"/>
      <c r="U22" s="37"/>
      <c r="W22" s="6"/>
      <c r="Y22" s="7"/>
      <c r="AA22" s="7"/>
      <c r="AB22" s="37"/>
      <c r="AC22" s="38"/>
      <c r="AD22" s="6"/>
      <c r="AF22" s="7"/>
      <c r="AH22" s="7"/>
      <c r="AI22" s="37"/>
      <c r="AJ22" s="38"/>
    </row>
    <row r="23" ht="15.75" customHeight="1">
      <c r="B23" s="6"/>
      <c r="D23" s="7"/>
      <c r="F23" s="7"/>
      <c r="G23" s="37"/>
      <c r="I23" s="6"/>
      <c r="K23" s="7"/>
      <c r="M23" s="7"/>
      <c r="N23" s="37"/>
      <c r="P23" s="6"/>
      <c r="R23" s="7"/>
      <c r="T23" s="7"/>
      <c r="U23" s="37"/>
      <c r="W23" s="6"/>
      <c r="Y23" s="7"/>
      <c r="AA23" s="7"/>
      <c r="AB23" s="37"/>
      <c r="AC23" s="38"/>
      <c r="AD23" s="6"/>
      <c r="AF23" s="7"/>
      <c r="AH23" s="7"/>
      <c r="AI23" s="37"/>
      <c r="AJ23" s="38"/>
    </row>
    <row r="24" ht="15.75" customHeight="1">
      <c r="B24" s="6"/>
      <c r="D24" s="7"/>
      <c r="F24" s="7"/>
      <c r="G24" s="37"/>
      <c r="I24" s="6"/>
      <c r="K24" s="7"/>
      <c r="M24" s="7"/>
      <c r="N24" s="37"/>
      <c r="P24" s="6"/>
      <c r="R24" s="7"/>
      <c r="T24" s="7"/>
      <c r="U24" s="37"/>
      <c r="W24" s="6"/>
      <c r="Y24" s="7"/>
      <c r="AA24" s="7"/>
      <c r="AB24" s="37"/>
      <c r="AC24" s="38"/>
      <c r="AD24" s="6"/>
      <c r="AF24" s="7"/>
      <c r="AH24" s="7"/>
      <c r="AI24" s="37"/>
      <c r="AJ24" s="38"/>
    </row>
    <row r="25" ht="15.75" customHeight="1">
      <c r="B25" s="6"/>
      <c r="D25" s="7"/>
      <c r="F25" s="7"/>
      <c r="G25" s="37"/>
      <c r="I25" s="6"/>
      <c r="K25" s="7"/>
      <c r="M25" s="7"/>
      <c r="N25" s="37"/>
      <c r="P25" s="6"/>
      <c r="R25" s="7"/>
      <c r="T25" s="7"/>
      <c r="U25" s="37"/>
      <c r="W25" s="6"/>
      <c r="Y25" s="7"/>
      <c r="AA25" s="7"/>
      <c r="AB25" s="37"/>
      <c r="AC25" s="38"/>
      <c r="AD25" s="6"/>
      <c r="AF25" s="7"/>
      <c r="AH25" s="7"/>
      <c r="AI25" s="37"/>
      <c r="AJ25" s="38"/>
    </row>
    <row r="26" ht="15.75" customHeight="1">
      <c r="B26" s="6"/>
      <c r="D26" s="7"/>
      <c r="F26" s="7"/>
      <c r="G26" s="37"/>
      <c r="I26" s="6"/>
      <c r="K26" s="7"/>
      <c r="M26" s="7"/>
      <c r="N26" s="37"/>
      <c r="P26" s="6"/>
      <c r="R26" s="7"/>
      <c r="T26" s="7"/>
      <c r="U26" s="37"/>
      <c r="W26" s="6"/>
      <c r="Y26" s="7"/>
      <c r="AA26" s="7"/>
      <c r="AB26" s="37"/>
      <c r="AC26" s="38"/>
      <c r="AD26" s="6"/>
      <c r="AF26" s="7"/>
      <c r="AH26" s="7"/>
      <c r="AI26" s="37"/>
      <c r="AJ26" s="38"/>
    </row>
    <row r="27" ht="15.75" customHeight="1">
      <c r="B27" s="6"/>
      <c r="D27" s="7"/>
      <c r="F27" s="7"/>
      <c r="G27" s="37"/>
      <c r="I27" s="6"/>
      <c r="K27" s="7"/>
      <c r="M27" s="7"/>
      <c r="N27" s="37"/>
      <c r="P27" s="6"/>
      <c r="R27" s="7"/>
      <c r="T27" s="7"/>
      <c r="U27" s="37"/>
      <c r="W27" s="6"/>
      <c r="Y27" s="7"/>
      <c r="AA27" s="7"/>
      <c r="AB27" s="37"/>
      <c r="AC27" s="38"/>
      <c r="AD27" s="6"/>
      <c r="AF27" s="7"/>
      <c r="AH27" s="7"/>
      <c r="AI27" s="37"/>
      <c r="AJ27" s="38"/>
    </row>
    <row r="28" ht="15.75" customHeight="1">
      <c r="B28" s="6"/>
      <c r="D28" s="7"/>
      <c r="F28" s="7"/>
      <c r="G28" s="37"/>
      <c r="I28" s="6"/>
      <c r="K28" s="7"/>
      <c r="M28" s="7"/>
      <c r="N28" s="37"/>
      <c r="P28" s="6"/>
      <c r="R28" s="7"/>
      <c r="T28" s="7"/>
      <c r="U28" s="37"/>
      <c r="W28" s="6"/>
      <c r="Y28" s="7"/>
      <c r="AA28" s="7"/>
      <c r="AB28" s="37"/>
      <c r="AC28" s="38"/>
      <c r="AD28" s="6"/>
      <c r="AF28" s="7"/>
      <c r="AH28" s="7"/>
      <c r="AI28" s="37"/>
      <c r="AJ28" s="38"/>
    </row>
    <row r="29" ht="15.75" customHeight="1">
      <c r="B29" s="6"/>
      <c r="D29" s="7"/>
      <c r="F29" s="7"/>
      <c r="G29" s="37"/>
      <c r="I29" s="6"/>
      <c r="K29" s="7"/>
      <c r="M29" s="7"/>
      <c r="N29" s="37"/>
      <c r="P29" s="6"/>
      <c r="R29" s="7"/>
      <c r="T29" s="7"/>
      <c r="U29" s="37"/>
      <c r="W29" s="6"/>
      <c r="Y29" s="7"/>
      <c r="AA29" s="7"/>
      <c r="AB29" s="37"/>
      <c r="AC29" s="38"/>
      <c r="AD29" s="6"/>
      <c r="AF29" s="7"/>
      <c r="AH29" s="7"/>
      <c r="AI29" s="37"/>
      <c r="AJ29" s="38"/>
    </row>
    <row r="30" ht="15.75" customHeight="1">
      <c r="B30" s="6"/>
      <c r="D30" s="7"/>
      <c r="F30" s="7"/>
      <c r="G30" s="37"/>
      <c r="I30" s="6"/>
      <c r="K30" s="7"/>
      <c r="M30" s="7"/>
      <c r="N30" s="37"/>
      <c r="P30" s="6"/>
      <c r="R30" s="7"/>
      <c r="T30" s="7"/>
      <c r="U30" s="37"/>
      <c r="W30" s="6"/>
      <c r="Y30" s="7"/>
      <c r="AA30" s="7"/>
      <c r="AB30" s="37"/>
      <c r="AC30" s="38"/>
      <c r="AD30" s="6"/>
      <c r="AF30" s="7"/>
      <c r="AH30" s="7"/>
      <c r="AI30" s="37"/>
      <c r="AJ30" s="38"/>
    </row>
    <row r="31" ht="15.75" customHeight="1">
      <c r="B31" s="6"/>
      <c r="D31" s="7"/>
      <c r="F31" s="7"/>
      <c r="G31" s="37"/>
      <c r="I31" s="6"/>
      <c r="K31" s="7"/>
      <c r="M31" s="7"/>
      <c r="N31" s="37"/>
      <c r="P31" s="6"/>
      <c r="R31" s="7"/>
      <c r="T31" s="7"/>
      <c r="U31" s="37"/>
      <c r="W31" s="6"/>
      <c r="Y31" s="7"/>
      <c r="AA31" s="7"/>
      <c r="AB31" s="37"/>
      <c r="AC31" s="38"/>
      <c r="AD31" s="6"/>
      <c r="AF31" s="7"/>
      <c r="AH31" s="7"/>
      <c r="AI31" s="37"/>
      <c r="AJ31" s="38"/>
    </row>
    <row r="32" ht="15.75" customHeight="1">
      <c r="B32" s="6"/>
      <c r="D32" s="7"/>
      <c r="F32" s="7"/>
      <c r="G32" s="37"/>
      <c r="I32" s="6"/>
      <c r="K32" s="7"/>
      <c r="M32" s="7"/>
      <c r="N32" s="37"/>
      <c r="P32" s="6"/>
      <c r="R32" s="7"/>
      <c r="T32" s="7"/>
      <c r="U32" s="37"/>
      <c r="W32" s="6"/>
      <c r="Y32" s="7"/>
      <c r="AA32" s="7"/>
      <c r="AB32" s="37"/>
      <c r="AC32" s="38"/>
      <c r="AD32" s="6"/>
      <c r="AF32" s="7"/>
      <c r="AH32" s="7"/>
      <c r="AI32" s="37"/>
      <c r="AJ32" s="38"/>
    </row>
    <row r="33" ht="15.75" customHeight="1">
      <c r="B33" s="6"/>
      <c r="D33" s="7"/>
      <c r="F33" s="7"/>
      <c r="G33" s="37"/>
      <c r="I33" s="6"/>
      <c r="K33" s="7"/>
      <c r="M33" s="7"/>
      <c r="N33" s="37"/>
      <c r="P33" s="6"/>
      <c r="R33" s="7"/>
      <c r="T33" s="7"/>
      <c r="U33" s="37"/>
      <c r="W33" s="6"/>
      <c r="Y33" s="7"/>
      <c r="AA33" s="7"/>
      <c r="AB33" s="37"/>
      <c r="AC33" s="38"/>
      <c r="AD33" s="6"/>
      <c r="AF33" s="7"/>
      <c r="AH33" s="7"/>
      <c r="AI33" s="37"/>
      <c r="AJ33" s="38"/>
    </row>
    <row r="34" ht="15.75" customHeight="1">
      <c r="B34" s="6"/>
      <c r="D34" s="7"/>
      <c r="F34" s="7"/>
      <c r="G34" s="37"/>
      <c r="I34" s="6"/>
      <c r="K34" s="7"/>
      <c r="M34" s="7"/>
      <c r="N34" s="37"/>
      <c r="P34" s="6"/>
      <c r="R34" s="7"/>
      <c r="T34" s="7"/>
      <c r="U34" s="37"/>
      <c r="W34" s="6"/>
      <c r="Y34" s="7"/>
      <c r="AA34" s="7"/>
      <c r="AB34" s="37"/>
      <c r="AC34" s="38"/>
      <c r="AD34" s="6"/>
      <c r="AF34" s="7"/>
      <c r="AH34" s="7"/>
      <c r="AI34" s="37"/>
      <c r="AJ34" s="38"/>
    </row>
    <row r="35" ht="15.75" customHeight="1">
      <c r="B35" s="6"/>
      <c r="D35" s="7"/>
      <c r="F35" s="7"/>
      <c r="G35" s="37"/>
      <c r="I35" s="6"/>
      <c r="K35" s="7"/>
      <c r="M35" s="7"/>
      <c r="N35" s="37"/>
      <c r="P35" s="6"/>
      <c r="R35" s="7"/>
      <c r="T35" s="7"/>
      <c r="U35" s="37"/>
      <c r="W35" s="6"/>
      <c r="Y35" s="7"/>
      <c r="AA35" s="7"/>
      <c r="AB35" s="37"/>
      <c r="AC35" s="38"/>
      <c r="AD35" s="6"/>
      <c r="AF35" s="7"/>
      <c r="AH35" s="7"/>
      <c r="AI35" s="37"/>
      <c r="AJ35" s="38"/>
    </row>
    <row r="36" ht="15.75" customHeight="1">
      <c r="B36" s="6"/>
      <c r="D36" s="7"/>
      <c r="F36" s="7"/>
      <c r="G36" s="37"/>
      <c r="I36" s="6"/>
      <c r="K36" s="7"/>
      <c r="M36" s="7"/>
      <c r="N36" s="37"/>
      <c r="P36" s="6"/>
      <c r="R36" s="7"/>
      <c r="T36" s="7"/>
      <c r="U36" s="37"/>
      <c r="W36" s="6"/>
      <c r="Y36" s="7"/>
      <c r="AA36" s="7"/>
      <c r="AB36" s="37"/>
      <c r="AC36" s="38"/>
      <c r="AD36" s="6"/>
      <c r="AF36" s="7"/>
      <c r="AH36" s="7"/>
      <c r="AI36" s="37"/>
      <c r="AJ36" s="38"/>
    </row>
    <row r="37" ht="15.75" customHeight="1">
      <c r="B37" s="6"/>
      <c r="D37" s="7"/>
      <c r="F37" s="7"/>
      <c r="G37" s="37"/>
      <c r="I37" s="6"/>
      <c r="K37" s="7"/>
      <c r="M37" s="7"/>
      <c r="N37" s="37"/>
      <c r="P37" s="6"/>
      <c r="R37" s="7"/>
      <c r="T37" s="7"/>
      <c r="U37" s="37"/>
      <c r="W37" s="6"/>
      <c r="Y37" s="7"/>
      <c r="AA37" s="7"/>
      <c r="AB37" s="37"/>
      <c r="AC37" s="38"/>
      <c r="AD37" s="6"/>
      <c r="AF37" s="7"/>
      <c r="AH37" s="7"/>
      <c r="AI37" s="37"/>
      <c r="AJ37" s="38"/>
    </row>
    <row r="38" ht="15.75" customHeight="1">
      <c r="B38" s="10"/>
      <c r="C38" s="11"/>
      <c r="D38" s="11"/>
      <c r="E38" s="11"/>
      <c r="F38" s="11"/>
      <c r="G38" s="41"/>
      <c r="I38" s="10"/>
      <c r="J38" s="11"/>
      <c r="K38" s="11"/>
      <c r="L38" s="11"/>
      <c r="M38" s="11"/>
      <c r="N38" s="41"/>
      <c r="P38" s="10"/>
      <c r="Q38" s="11"/>
      <c r="R38" s="11"/>
      <c r="S38" s="11"/>
      <c r="T38" s="11"/>
      <c r="U38" s="41"/>
      <c r="W38" s="10"/>
      <c r="X38" s="11"/>
      <c r="Y38" s="11"/>
      <c r="Z38" s="11"/>
      <c r="AA38" s="11"/>
      <c r="AB38" s="41"/>
      <c r="AC38" s="38"/>
      <c r="AD38" s="10"/>
      <c r="AE38" s="11"/>
      <c r="AF38" s="11"/>
      <c r="AG38" s="11"/>
      <c r="AH38" s="11"/>
      <c r="AI38" s="41"/>
      <c r="AJ38" s="3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mergeCells count="60">
    <mergeCell ref="R7:S7"/>
    <mergeCell ref="T7:U7"/>
    <mergeCell ref="W7:X7"/>
    <mergeCell ref="Y7:Z7"/>
    <mergeCell ref="AA7:AB7"/>
    <mergeCell ref="AD7:AE7"/>
    <mergeCell ref="AF7:AG7"/>
    <mergeCell ref="AH7:AI7"/>
    <mergeCell ref="B7:C7"/>
    <mergeCell ref="D7:E7"/>
    <mergeCell ref="F7:G7"/>
    <mergeCell ref="I7:J7"/>
    <mergeCell ref="K7:L7"/>
    <mergeCell ref="M7:N7"/>
    <mergeCell ref="P7:Q7"/>
    <mergeCell ref="W2:AB2"/>
    <mergeCell ref="W3:AB3"/>
    <mergeCell ref="W4:Y4"/>
    <mergeCell ref="Z4:AB4"/>
    <mergeCell ref="AD4:AF4"/>
    <mergeCell ref="AG4:AI4"/>
    <mergeCell ref="B2:G2"/>
    <mergeCell ref="I2:N2"/>
    <mergeCell ref="P2:U2"/>
    <mergeCell ref="AD2:AI2"/>
    <mergeCell ref="I3:N3"/>
    <mergeCell ref="P3:U3"/>
    <mergeCell ref="AD3:AI3"/>
    <mergeCell ref="B3:G3"/>
    <mergeCell ref="B4:D4"/>
    <mergeCell ref="E4:G4"/>
    <mergeCell ref="I4:K4"/>
    <mergeCell ref="L4:N4"/>
    <mergeCell ref="P4:R4"/>
    <mergeCell ref="S4:U4"/>
    <mergeCell ref="Z5:AB5"/>
    <mergeCell ref="AD5:AF5"/>
    <mergeCell ref="AG5:AI5"/>
    <mergeCell ref="B5:D5"/>
    <mergeCell ref="E5:G5"/>
    <mergeCell ref="I5:K5"/>
    <mergeCell ref="L5:N5"/>
    <mergeCell ref="P5:R5"/>
    <mergeCell ref="S5:U5"/>
    <mergeCell ref="W5:Y5"/>
    <mergeCell ref="R6:S6"/>
    <mergeCell ref="T6:U6"/>
    <mergeCell ref="W6:X6"/>
    <mergeCell ref="Y6:Z6"/>
    <mergeCell ref="AA6:AB6"/>
    <mergeCell ref="AD6:AE6"/>
    <mergeCell ref="AF6:AG6"/>
    <mergeCell ref="AH6:AI6"/>
    <mergeCell ref="B6:C6"/>
    <mergeCell ref="D6:E6"/>
    <mergeCell ref="F6:G6"/>
    <mergeCell ref="I6:J6"/>
    <mergeCell ref="K6:L6"/>
    <mergeCell ref="M6:N6"/>
    <mergeCell ref="P6:Q6"/>
  </mergeCells>
  <conditionalFormatting sqref="A7:AJ7">
    <cfRule type="cellIs" dxfId="0" priority="1" operator="lessThan">
      <formula>0</formula>
    </cfRule>
  </conditionalFormatting>
  <conditionalFormatting sqref="A7:AJ7">
    <cfRule type="cellIs" dxfId="1" priority="2" operator="greaterThan">
      <formula>0</formula>
    </cfRule>
  </conditionalFormatting>
  <conditionalFormatting sqref="A5:AJ5">
    <cfRule type="expression" dxfId="0" priority="3">
      <formula>AND(ISNUMBER(A5),TRUNC(A5)&lt;TODAY())</formula>
    </cfRule>
  </conditionalFormatting>
  <dataValidations>
    <dataValidation type="list" allowBlank="1" showErrorMessage="1" sqref="F9:F38 M9:M38 T9:T38 AA9:AA38 AH9:AH38">
      <formula1>"Each,Grams,Milligrams"</formula1>
    </dataValidation>
    <dataValidation type="list" allowBlank="1" showErrorMessage="1" sqref="D9:D38 K9:K38 R9:R38 Y9:Y38 AF9:AF38">
      <formula1>"Flower,Infused Product,Concentrate"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4" max="4" width="25.5"/>
    <col customWidth="1" min="5" max="5" width="45.0"/>
    <col customWidth="1" min="6" max="6" width="14.25"/>
    <col customWidth="1" min="7" max="7" width="22.25"/>
  </cols>
  <sheetData>
    <row r="1" ht="15.75" customHeight="1">
      <c r="A1" s="7" t="str">
        <f>If(Dashboard!G9=TODAY(),Dashboard!B9,"")</f>
        <v/>
      </c>
      <c r="B1" s="7" t="str">
        <f>If(Dashboard!G9=TODAY(),IF(Dashboard!E9&lt;&gt;"", Dashboard!E9*(-1), ""), "")</f>
        <v/>
      </c>
      <c r="C1" s="7" t="str">
        <f>If(A1&lt;&gt;"",Dashboard!F9,"")</f>
        <v/>
      </c>
      <c r="D1" s="7" t="str">
        <f t="shared" ref="D1:D30" si="1">If(A1&lt;&gt;"","Internal Product Testing Samples","")</f>
        <v/>
      </c>
      <c r="E1" s="7" t="str">
        <f t="shared" ref="E1:E30" si="2">If(A1&lt;&gt;"","Sample provided to Alex Monroe (Metrc #0314928473)","")</f>
        <v/>
      </c>
      <c r="F1" s="38" t="str">
        <f>If(A1&lt;&gt;"",Dashboard!G9,"")</f>
        <v/>
      </c>
      <c r="G1" s="42" t="str">
        <f t="shared" ref="G1:G30" si="3">If(A1&lt;&gt;"","0816943728","")</f>
        <v/>
      </c>
    </row>
    <row r="2" ht="15.75" customHeight="1">
      <c r="A2" s="7" t="str">
        <f>If(Dashboard!G10=TODAY(),Dashboard!B10,"")</f>
        <v/>
      </c>
      <c r="B2" s="7" t="str">
        <f>If(Dashboard!G10=TODAY(),IF(Dashboard!E10&lt;&gt;"", Dashboard!E10*(-1), ""), "")</f>
        <v/>
      </c>
      <c r="C2" s="7" t="str">
        <f>If(A2&lt;&gt;"",Dashboard!F10,"")</f>
        <v/>
      </c>
      <c r="D2" s="7" t="str">
        <f t="shared" si="1"/>
        <v/>
      </c>
      <c r="E2" s="7" t="str">
        <f t="shared" si="2"/>
        <v/>
      </c>
      <c r="F2" s="38" t="str">
        <f>If(A2&lt;&gt;"",Dashboard!G10,"")</f>
        <v/>
      </c>
      <c r="G2" s="42" t="str">
        <f t="shared" si="3"/>
        <v/>
      </c>
    </row>
    <row r="3" ht="15.75" customHeight="1">
      <c r="A3" s="7" t="str">
        <f>If(Dashboard!G11=TODAY(),Dashboard!B11,"")</f>
        <v>1A405030003C8BE000009057</v>
      </c>
      <c r="B3" s="7">
        <f>If(Dashboard!G11=TODAY(),IF(Dashboard!E11&lt;&gt;"", Dashboard!E11*(-1), ""), "")</f>
        <v>-1</v>
      </c>
      <c r="C3" s="7" t="str">
        <f>If(A3&lt;&gt;"",Dashboard!F11,"")</f>
        <v>Each</v>
      </c>
      <c r="D3" s="7" t="str">
        <f t="shared" si="1"/>
        <v>Internal Product Testing Samples</v>
      </c>
      <c r="E3" s="7" t="str">
        <f t="shared" si="2"/>
        <v>Sample provided to Alex Monroe (Metrc #0314928473)</v>
      </c>
      <c r="F3" s="38">
        <f>If(A3&lt;&gt;"",Dashboard!G11,"")</f>
        <v>46005</v>
      </c>
      <c r="G3" s="42" t="str">
        <f t="shared" si="3"/>
        <v>0816943728</v>
      </c>
    </row>
    <row r="4" ht="15.75" customHeight="1">
      <c r="A4" s="7" t="str">
        <f>If(Dashboard!G12=TODAY(),Dashboard!B12,"")</f>
        <v>1A4050300051E4D000002946</v>
      </c>
      <c r="B4" s="7">
        <f>If(Dashboard!G12=TODAY(),IF(Dashboard!E12&lt;&gt;"", Dashboard!E12*(-1), ""), "")</f>
        <v>-1</v>
      </c>
      <c r="C4" s="7" t="str">
        <f>If(A4&lt;&gt;"",Dashboard!F12,"")</f>
        <v>Each</v>
      </c>
      <c r="D4" s="7" t="str">
        <f t="shared" si="1"/>
        <v>Internal Product Testing Samples</v>
      </c>
      <c r="E4" s="7" t="str">
        <f t="shared" si="2"/>
        <v>Sample provided to Alex Monroe (Metrc #0314928473)</v>
      </c>
      <c r="F4" s="38">
        <f>If(A4&lt;&gt;"",Dashboard!G12,"")</f>
        <v>46005</v>
      </c>
      <c r="G4" s="42" t="str">
        <f t="shared" si="3"/>
        <v>0816943728</v>
      </c>
    </row>
    <row r="5" ht="15.75" customHeight="1">
      <c r="A5" s="7" t="str">
        <f>If(Dashboard!G13=TODAY(),Dashboard!B13,"")</f>
        <v>1A405030009D7A2000007314</v>
      </c>
      <c r="B5" s="7">
        <f>If(Dashboard!G13=TODAY(),IF(Dashboard!E13&lt;&gt;"", Dashboard!E13*(-1), ""), "")</f>
        <v>-3</v>
      </c>
      <c r="C5" s="7" t="str">
        <f>If(A5&lt;&gt;"",Dashboard!F13,"")</f>
        <v>Each</v>
      </c>
      <c r="D5" s="7" t="str">
        <f t="shared" si="1"/>
        <v>Internal Product Testing Samples</v>
      </c>
      <c r="E5" s="7" t="str">
        <f t="shared" si="2"/>
        <v>Sample provided to Alex Monroe (Metrc #0314928473)</v>
      </c>
      <c r="F5" s="38">
        <f>If(A5&lt;&gt;"",Dashboard!G13,"")</f>
        <v>46005</v>
      </c>
      <c r="G5" s="42" t="str">
        <f t="shared" si="3"/>
        <v>0816943728</v>
      </c>
    </row>
    <row r="6" ht="15.75" customHeight="1">
      <c r="A6" s="7" t="str">
        <f>If(Dashboard!G14=TODAY(),Dashboard!B14,"")</f>
        <v>1A40503000684F9000001582</v>
      </c>
      <c r="B6" s="7">
        <f>If(Dashboard!G14=TODAY(),IF(Dashboard!E14&lt;&gt;"", Dashboard!E14*(-1), ""), "")</f>
        <v>-2</v>
      </c>
      <c r="C6" s="7" t="str">
        <f>If(A6&lt;&gt;"",Dashboard!F14,"")</f>
        <v>Each</v>
      </c>
      <c r="D6" s="7" t="str">
        <f t="shared" si="1"/>
        <v>Internal Product Testing Samples</v>
      </c>
      <c r="E6" s="7" t="str">
        <f t="shared" si="2"/>
        <v>Sample provided to Alex Monroe (Metrc #0314928473)</v>
      </c>
      <c r="F6" s="38">
        <f>If(A6&lt;&gt;"",Dashboard!G14,"")</f>
        <v>46005</v>
      </c>
      <c r="G6" s="42" t="str">
        <f t="shared" si="3"/>
        <v>0816943728</v>
      </c>
    </row>
    <row r="7" ht="15.75" customHeight="1">
      <c r="A7" s="7" t="str">
        <f>If(Dashboard!G15=TODAY(),Dashboard!B15,"")</f>
        <v>1A40503000B23CD000004771</v>
      </c>
      <c r="B7" s="7">
        <f>If(Dashboard!G15=TODAY(),IF(Dashboard!E15&lt;&gt;"", Dashboard!E15*(-1), ""), "")</f>
        <v>-14</v>
      </c>
      <c r="C7" s="7" t="str">
        <f>If(A7&lt;&gt;"",Dashboard!F15,"")</f>
        <v>Grams</v>
      </c>
      <c r="D7" s="7" t="str">
        <f t="shared" si="1"/>
        <v>Internal Product Testing Samples</v>
      </c>
      <c r="E7" s="7" t="str">
        <f t="shared" si="2"/>
        <v>Sample provided to Alex Monroe (Metrc #0314928473)</v>
      </c>
      <c r="F7" s="38">
        <f>If(A7&lt;&gt;"",Dashboard!G15,"")</f>
        <v>46005</v>
      </c>
      <c r="G7" s="42" t="str">
        <f t="shared" si="3"/>
        <v>0816943728</v>
      </c>
    </row>
    <row r="8" ht="15.75" customHeight="1">
      <c r="A8" s="7" t="str">
        <f>If(Dashboard!G16=TODAY(),Dashboard!B16,"")</f>
        <v/>
      </c>
      <c r="B8" s="7" t="str">
        <f>If(Dashboard!G16=TODAY(),IF(Dashboard!E16&lt;&gt;"", Dashboard!E16*(-1), ""), "")</f>
        <v/>
      </c>
      <c r="C8" s="7" t="str">
        <f>If(A8&lt;&gt;"",Dashboard!F16,"")</f>
        <v/>
      </c>
      <c r="D8" s="7" t="str">
        <f t="shared" si="1"/>
        <v/>
      </c>
      <c r="E8" s="7" t="str">
        <f t="shared" si="2"/>
        <v/>
      </c>
      <c r="F8" s="38" t="str">
        <f>If(A8&lt;&gt;"",Dashboard!G16,"")</f>
        <v/>
      </c>
      <c r="G8" s="42" t="str">
        <f t="shared" si="3"/>
        <v/>
      </c>
    </row>
    <row r="9" ht="15.75" customHeight="1">
      <c r="A9" s="7" t="str">
        <f>If(Dashboard!G17=TODAY(),Dashboard!B17,"")</f>
        <v/>
      </c>
      <c r="B9" s="7" t="str">
        <f>If(Dashboard!G17=TODAY(),IF(Dashboard!E17&lt;&gt;"", Dashboard!E17*(-1), ""), "")</f>
        <v/>
      </c>
      <c r="C9" s="7" t="str">
        <f>If(A9&lt;&gt;"",Dashboard!F17,"")</f>
        <v/>
      </c>
      <c r="D9" s="7" t="str">
        <f t="shared" si="1"/>
        <v/>
      </c>
      <c r="E9" s="7" t="str">
        <f t="shared" si="2"/>
        <v/>
      </c>
      <c r="F9" s="38" t="str">
        <f>If(A9&lt;&gt;"",Dashboard!G17,"")</f>
        <v/>
      </c>
      <c r="G9" s="42" t="str">
        <f t="shared" si="3"/>
        <v/>
      </c>
    </row>
    <row r="10" ht="15.75" customHeight="1">
      <c r="A10" s="7" t="str">
        <f>If(Dashboard!G18=TODAY(),Dashboard!B18,"")</f>
        <v/>
      </c>
      <c r="B10" s="7" t="str">
        <f>If(Dashboard!G18=TODAY(),IF(Dashboard!E18&lt;&gt;"", Dashboard!E18*(-1), ""), "")</f>
        <v/>
      </c>
      <c r="C10" s="7" t="str">
        <f>If(A10&lt;&gt;"",Dashboard!F18,"")</f>
        <v/>
      </c>
      <c r="D10" s="7" t="str">
        <f t="shared" si="1"/>
        <v/>
      </c>
      <c r="E10" s="7" t="str">
        <f t="shared" si="2"/>
        <v/>
      </c>
      <c r="F10" s="38" t="str">
        <f>If(A10&lt;&gt;"",Dashboard!G18,"")</f>
        <v/>
      </c>
      <c r="G10" s="42" t="str">
        <f t="shared" si="3"/>
        <v/>
      </c>
    </row>
    <row r="11" ht="15.75" customHeight="1">
      <c r="A11" s="7" t="str">
        <f>If(Dashboard!G19=TODAY(),Dashboard!B19,"")</f>
        <v/>
      </c>
      <c r="B11" s="7" t="str">
        <f>If(Dashboard!G19=TODAY(),IF(Dashboard!E19&lt;&gt;"", Dashboard!E19*(-1), ""), "")</f>
        <v/>
      </c>
      <c r="C11" s="7" t="str">
        <f>If(A11&lt;&gt;"",Dashboard!F19,"")</f>
        <v/>
      </c>
      <c r="D11" s="7" t="str">
        <f t="shared" si="1"/>
        <v/>
      </c>
      <c r="E11" s="7" t="str">
        <f t="shared" si="2"/>
        <v/>
      </c>
      <c r="F11" s="38" t="str">
        <f>If(A11&lt;&gt;"",Dashboard!G19,"")</f>
        <v/>
      </c>
      <c r="G11" s="42" t="str">
        <f t="shared" si="3"/>
        <v/>
      </c>
    </row>
    <row r="12" ht="15.75" customHeight="1">
      <c r="A12" s="7" t="str">
        <f>If(Dashboard!G20=TODAY(),Dashboard!B20,"")</f>
        <v/>
      </c>
      <c r="B12" s="7" t="str">
        <f>If(Dashboard!G20=TODAY(),IF(Dashboard!E20&lt;&gt;"", Dashboard!E20*(-1), ""), "")</f>
        <v/>
      </c>
      <c r="C12" s="7" t="str">
        <f>If(A12&lt;&gt;"",Dashboard!F20,"")</f>
        <v/>
      </c>
      <c r="D12" s="7" t="str">
        <f t="shared" si="1"/>
        <v/>
      </c>
      <c r="E12" s="7" t="str">
        <f t="shared" si="2"/>
        <v/>
      </c>
      <c r="F12" s="38" t="str">
        <f>If(A12&lt;&gt;"",Dashboard!G20,"")</f>
        <v/>
      </c>
      <c r="G12" s="42" t="str">
        <f t="shared" si="3"/>
        <v/>
      </c>
    </row>
    <row r="13" ht="15.75" customHeight="1">
      <c r="A13" s="7" t="str">
        <f>If(Dashboard!G21=TODAY(),Dashboard!B21,"")</f>
        <v/>
      </c>
      <c r="B13" s="7" t="str">
        <f>If(Dashboard!G21=TODAY(),IF(Dashboard!E21&lt;&gt;"", Dashboard!E21*(-1), ""), "")</f>
        <v/>
      </c>
      <c r="C13" s="7" t="str">
        <f>If(A13&lt;&gt;"",Dashboard!F21,"")</f>
        <v/>
      </c>
      <c r="D13" s="7" t="str">
        <f t="shared" si="1"/>
        <v/>
      </c>
      <c r="E13" s="7" t="str">
        <f t="shared" si="2"/>
        <v/>
      </c>
      <c r="F13" s="38" t="str">
        <f>If(A13&lt;&gt;"",Dashboard!G21,"")</f>
        <v/>
      </c>
      <c r="G13" s="42" t="str">
        <f t="shared" si="3"/>
        <v/>
      </c>
    </row>
    <row r="14" ht="15.75" customHeight="1">
      <c r="A14" s="7" t="str">
        <f>If(Dashboard!G22=TODAY(),Dashboard!B22,"")</f>
        <v/>
      </c>
      <c r="B14" s="7" t="str">
        <f>If(Dashboard!G22=TODAY(),IF(Dashboard!E22&lt;&gt;"", Dashboard!E22*(-1), ""), "")</f>
        <v/>
      </c>
      <c r="C14" s="7" t="str">
        <f>If(A14&lt;&gt;"",Dashboard!F22,"")</f>
        <v/>
      </c>
      <c r="D14" s="7" t="str">
        <f t="shared" si="1"/>
        <v/>
      </c>
      <c r="E14" s="7" t="str">
        <f t="shared" si="2"/>
        <v/>
      </c>
      <c r="F14" s="38" t="str">
        <f>If(A14&lt;&gt;"",Dashboard!G22,"")</f>
        <v/>
      </c>
      <c r="G14" s="42" t="str">
        <f t="shared" si="3"/>
        <v/>
      </c>
    </row>
    <row r="15" ht="15.75" customHeight="1">
      <c r="A15" s="7" t="str">
        <f>If(Dashboard!G23=TODAY(),Dashboard!B23,"")</f>
        <v/>
      </c>
      <c r="B15" s="7" t="str">
        <f>If(Dashboard!G23=TODAY(),IF(Dashboard!E23&lt;&gt;"", Dashboard!E23*(-1), ""), "")</f>
        <v/>
      </c>
      <c r="C15" s="7" t="str">
        <f>If(A15&lt;&gt;"",Dashboard!F23,"")</f>
        <v/>
      </c>
      <c r="D15" s="7" t="str">
        <f t="shared" si="1"/>
        <v/>
      </c>
      <c r="E15" s="7" t="str">
        <f t="shared" si="2"/>
        <v/>
      </c>
      <c r="F15" s="38" t="str">
        <f>If(A15&lt;&gt;"",Dashboard!G23,"")</f>
        <v/>
      </c>
      <c r="G15" s="42" t="str">
        <f t="shared" si="3"/>
        <v/>
      </c>
    </row>
    <row r="16" ht="15.75" customHeight="1">
      <c r="A16" s="7" t="str">
        <f>If(Dashboard!G24=TODAY(),Dashboard!B24,"")</f>
        <v/>
      </c>
      <c r="B16" s="7" t="str">
        <f>If(Dashboard!G24=TODAY(),IF(Dashboard!E24&lt;&gt;"", Dashboard!E24*(-1), ""), "")</f>
        <v/>
      </c>
      <c r="C16" s="7" t="str">
        <f>If(A16&lt;&gt;"",Dashboard!F24,"")</f>
        <v/>
      </c>
      <c r="D16" s="7" t="str">
        <f t="shared" si="1"/>
        <v/>
      </c>
      <c r="E16" s="7" t="str">
        <f t="shared" si="2"/>
        <v/>
      </c>
      <c r="F16" s="38" t="str">
        <f>If(A16&lt;&gt;"",Dashboard!G24,"")</f>
        <v/>
      </c>
      <c r="G16" s="42" t="str">
        <f t="shared" si="3"/>
        <v/>
      </c>
    </row>
    <row r="17" ht="15.75" customHeight="1">
      <c r="A17" s="7" t="str">
        <f>If(Dashboard!G25=TODAY(),Dashboard!B25,"")</f>
        <v/>
      </c>
      <c r="B17" s="7" t="str">
        <f>If(Dashboard!G25=TODAY(),IF(Dashboard!E25&lt;&gt;"", Dashboard!E25*(-1), ""), "")</f>
        <v/>
      </c>
      <c r="C17" s="7" t="str">
        <f>If(A17&lt;&gt;"",Dashboard!F25,"")</f>
        <v/>
      </c>
      <c r="D17" s="7" t="str">
        <f t="shared" si="1"/>
        <v/>
      </c>
      <c r="E17" s="7" t="str">
        <f t="shared" si="2"/>
        <v/>
      </c>
      <c r="F17" s="38" t="str">
        <f>If(A17&lt;&gt;"",Dashboard!G25,"")</f>
        <v/>
      </c>
      <c r="G17" s="42" t="str">
        <f t="shared" si="3"/>
        <v/>
      </c>
    </row>
    <row r="18" ht="15.75" customHeight="1">
      <c r="A18" s="7" t="str">
        <f>If(Dashboard!G26=TODAY(),Dashboard!B26,"")</f>
        <v/>
      </c>
      <c r="B18" s="7" t="str">
        <f>If(Dashboard!G26=TODAY(),IF(Dashboard!E26&lt;&gt;"", Dashboard!E26*(-1), ""), "")</f>
        <v/>
      </c>
      <c r="C18" s="7" t="str">
        <f>If(A18&lt;&gt;"",Dashboard!F26,"")</f>
        <v/>
      </c>
      <c r="D18" s="7" t="str">
        <f t="shared" si="1"/>
        <v/>
      </c>
      <c r="E18" s="7" t="str">
        <f t="shared" si="2"/>
        <v/>
      </c>
      <c r="F18" s="38" t="str">
        <f>If(A18&lt;&gt;"",Dashboard!G26,"")</f>
        <v/>
      </c>
      <c r="G18" s="42" t="str">
        <f t="shared" si="3"/>
        <v/>
      </c>
    </row>
    <row r="19" ht="15.75" customHeight="1">
      <c r="A19" s="7" t="str">
        <f>If(Dashboard!G27=TODAY(),Dashboard!B27,"")</f>
        <v/>
      </c>
      <c r="B19" s="7" t="str">
        <f>If(Dashboard!G27=TODAY(),IF(Dashboard!E27&lt;&gt;"", Dashboard!E27*(-1), ""), "")</f>
        <v/>
      </c>
      <c r="C19" s="7" t="str">
        <f>If(A19&lt;&gt;"",Dashboard!F27,"")</f>
        <v/>
      </c>
      <c r="D19" s="7" t="str">
        <f t="shared" si="1"/>
        <v/>
      </c>
      <c r="E19" s="7" t="str">
        <f t="shared" si="2"/>
        <v/>
      </c>
      <c r="F19" s="38" t="str">
        <f>If(A19&lt;&gt;"",Dashboard!G27,"")</f>
        <v/>
      </c>
      <c r="G19" s="42" t="str">
        <f t="shared" si="3"/>
        <v/>
      </c>
    </row>
    <row r="20" ht="15.75" customHeight="1">
      <c r="A20" s="7" t="str">
        <f>If(Dashboard!G28=TODAY(),Dashboard!B28,"")</f>
        <v/>
      </c>
      <c r="B20" s="7" t="str">
        <f>If(Dashboard!G28=TODAY(),IF(Dashboard!E28&lt;&gt;"", Dashboard!E28*(-1), ""), "")</f>
        <v/>
      </c>
      <c r="C20" s="7" t="str">
        <f>If(A20&lt;&gt;"",Dashboard!F28,"")</f>
        <v/>
      </c>
      <c r="D20" s="7" t="str">
        <f t="shared" si="1"/>
        <v/>
      </c>
      <c r="E20" s="7" t="str">
        <f t="shared" si="2"/>
        <v/>
      </c>
      <c r="F20" s="38" t="str">
        <f>If(A20&lt;&gt;"",Dashboard!G28,"")</f>
        <v/>
      </c>
      <c r="G20" s="42" t="str">
        <f t="shared" si="3"/>
        <v/>
      </c>
    </row>
    <row r="21" ht="15.75" customHeight="1">
      <c r="A21" s="7" t="str">
        <f>If(Dashboard!G29=TODAY(),Dashboard!B29,"")</f>
        <v/>
      </c>
      <c r="B21" s="7" t="str">
        <f>If(Dashboard!G29=TODAY(),IF(Dashboard!E29&lt;&gt;"", Dashboard!E29*(-1), ""), "")</f>
        <v/>
      </c>
      <c r="C21" s="7" t="str">
        <f>If(A21&lt;&gt;"",Dashboard!F29,"")</f>
        <v/>
      </c>
      <c r="D21" s="7" t="str">
        <f t="shared" si="1"/>
        <v/>
      </c>
      <c r="E21" s="7" t="str">
        <f t="shared" si="2"/>
        <v/>
      </c>
      <c r="F21" s="38" t="str">
        <f>If(A21&lt;&gt;"",Dashboard!G29,"")</f>
        <v/>
      </c>
      <c r="G21" s="42" t="str">
        <f t="shared" si="3"/>
        <v/>
      </c>
    </row>
    <row r="22" ht="15.75" customHeight="1">
      <c r="A22" s="7" t="str">
        <f>If(Dashboard!G30=TODAY(),Dashboard!B30,"")</f>
        <v/>
      </c>
      <c r="B22" s="7" t="str">
        <f>If(Dashboard!G30=TODAY(),IF(Dashboard!E30&lt;&gt;"", Dashboard!E30*(-1), ""), "")</f>
        <v/>
      </c>
      <c r="C22" s="7" t="str">
        <f>If(A22&lt;&gt;"",Dashboard!F30,"")</f>
        <v/>
      </c>
      <c r="D22" s="7" t="str">
        <f t="shared" si="1"/>
        <v/>
      </c>
      <c r="E22" s="7" t="str">
        <f t="shared" si="2"/>
        <v/>
      </c>
      <c r="F22" s="38" t="str">
        <f>If(A22&lt;&gt;"",Dashboard!G30,"")</f>
        <v/>
      </c>
      <c r="G22" s="42" t="str">
        <f t="shared" si="3"/>
        <v/>
      </c>
    </row>
    <row r="23" ht="15.75" customHeight="1">
      <c r="A23" s="7" t="str">
        <f>If(Dashboard!G31=TODAY(),Dashboard!B31,"")</f>
        <v/>
      </c>
      <c r="B23" s="7" t="str">
        <f>If(Dashboard!G31=TODAY(),IF(Dashboard!E31&lt;&gt;"", Dashboard!E31*(-1), ""), "")</f>
        <v/>
      </c>
      <c r="C23" s="7" t="str">
        <f>If(A23&lt;&gt;"",Dashboard!F31,"")</f>
        <v/>
      </c>
      <c r="D23" s="7" t="str">
        <f t="shared" si="1"/>
        <v/>
      </c>
      <c r="E23" s="7" t="str">
        <f t="shared" si="2"/>
        <v/>
      </c>
      <c r="F23" s="38" t="str">
        <f>If(A23&lt;&gt;"",Dashboard!G31,"")</f>
        <v/>
      </c>
      <c r="G23" s="42" t="str">
        <f t="shared" si="3"/>
        <v/>
      </c>
    </row>
    <row r="24" ht="15.75" customHeight="1">
      <c r="A24" s="7" t="str">
        <f>If(Dashboard!G32=TODAY(),Dashboard!B32,"")</f>
        <v/>
      </c>
      <c r="B24" s="7" t="str">
        <f>If(Dashboard!G32=TODAY(),IF(Dashboard!E32&lt;&gt;"", Dashboard!E32*(-1), ""), "")</f>
        <v/>
      </c>
      <c r="C24" s="7" t="str">
        <f>If(A24&lt;&gt;"",Dashboard!F32,"")</f>
        <v/>
      </c>
      <c r="D24" s="7" t="str">
        <f t="shared" si="1"/>
        <v/>
      </c>
      <c r="E24" s="7" t="str">
        <f t="shared" si="2"/>
        <v/>
      </c>
      <c r="F24" s="38" t="str">
        <f>If(A24&lt;&gt;"",Dashboard!G32,"")</f>
        <v/>
      </c>
      <c r="G24" s="42" t="str">
        <f t="shared" si="3"/>
        <v/>
      </c>
    </row>
    <row r="25" ht="15.75" customHeight="1">
      <c r="A25" s="7" t="str">
        <f>If(Dashboard!G33=TODAY(),Dashboard!B33,"")</f>
        <v/>
      </c>
      <c r="B25" s="7" t="str">
        <f>If(Dashboard!G33=TODAY(),IF(Dashboard!E33&lt;&gt;"", Dashboard!E33*(-1), ""), "")</f>
        <v/>
      </c>
      <c r="C25" s="7" t="str">
        <f>If(A25&lt;&gt;"",Dashboard!F33,"")</f>
        <v/>
      </c>
      <c r="D25" s="7" t="str">
        <f t="shared" si="1"/>
        <v/>
      </c>
      <c r="E25" s="7" t="str">
        <f t="shared" si="2"/>
        <v/>
      </c>
      <c r="F25" s="38" t="str">
        <f>If(A25&lt;&gt;"",Dashboard!G33,"")</f>
        <v/>
      </c>
      <c r="G25" s="42" t="str">
        <f t="shared" si="3"/>
        <v/>
      </c>
    </row>
    <row r="26" ht="15.75" customHeight="1">
      <c r="A26" s="7" t="str">
        <f>If(Dashboard!G34=TODAY(),Dashboard!B34,"")</f>
        <v/>
      </c>
      <c r="B26" s="7" t="str">
        <f>If(Dashboard!G34=TODAY(),IF(Dashboard!E34&lt;&gt;"", Dashboard!E34*(-1), ""), "")</f>
        <v/>
      </c>
      <c r="C26" s="7" t="str">
        <f>If(A26&lt;&gt;"",Dashboard!F34,"")</f>
        <v/>
      </c>
      <c r="D26" s="7" t="str">
        <f t="shared" si="1"/>
        <v/>
      </c>
      <c r="E26" s="7" t="str">
        <f t="shared" si="2"/>
        <v/>
      </c>
      <c r="F26" s="38" t="str">
        <f>If(A26&lt;&gt;"",Dashboard!G34,"")</f>
        <v/>
      </c>
      <c r="G26" s="42" t="str">
        <f t="shared" si="3"/>
        <v/>
      </c>
    </row>
    <row r="27" ht="15.75" customHeight="1">
      <c r="A27" s="7" t="str">
        <f>If(Dashboard!G35=TODAY(),Dashboard!B35,"")</f>
        <v/>
      </c>
      <c r="B27" s="7" t="str">
        <f>If(Dashboard!G35=TODAY(),IF(Dashboard!E35&lt;&gt;"", Dashboard!E35*(-1), ""), "")</f>
        <v/>
      </c>
      <c r="C27" s="7" t="str">
        <f>If(A27&lt;&gt;"",Dashboard!F35,"")</f>
        <v/>
      </c>
      <c r="D27" s="7" t="str">
        <f t="shared" si="1"/>
        <v/>
      </c>
      <c r="E27" s="7" t="str">
        <f t="shared" si="2"/>
        <v/>
      </c>
      <c r="F27" s="38" t="str">
        <f>If(A27&lt;&gt;"",Dashboard!G35,"")</f>
        <v/>
      </c>
      <c r="G27" s="42" t="str">
        <f t="shared" si="3"/>
        <v/>
      </c>
    </row>
    <row r="28" ht="15.75" customHeight="1">
      <c r="A28" s="7" t="str">
        <f>If(Dashboard!G36=TODAY(),Dashboard!B36,"")</f>
        <v/>
      </c>
      <c r="B28" s="7" t="str">
        <f>If(Dashboard!G36=TODAY(),IF(Dashboard!E36&lt;&gt;"", Dashboard!E36*(-1), ""), "")</f>
        <v/>
      </c>
      <c r="C28" s="7" t="str">
        <f>If(A28&lt;&gt;"",Dashboard!F36,"")</f>
        <v/>
      </c>
      <c r="D28" s="7" t="str">
        <f t="shared" si="1"/>
        <v/>
      </c>
      <c r="E28" s="7" t="str">
        <f t="shared" si="2"/>
        <v/>
      </c>
      <c r="F28" s="38" t="str">
        <f>If(A28&lt;&gt;"",Dashboard!G36,"")</f>
        <v/>
      </c>
      <c r="G28" s="42" t="str">
        <f t="shared" si="3"/>
        <v/>
      </c>
    </row>
    <row r="29" ht="15.75" customHeight="1">
      <c r="A29" s="7" t="str">
        <f>If(Dashboard!G37=TODAY(),Dashboard!B37,"")</f>
        <v/>
      </c>
      <c r="B29" s="7" t="str">
        <f>If(Dashboard!G37=TODAY(),IF(Dashboard!E37&lt;&gt;"", Dashboard!E37*(-1), ""), "")</f>
        <v/>
      </c>
      <c r="C29" s="7" t="str">
        <f>If(A29&lt;&gt;"",Dashboard!F37,"")</f>
        <v/>
      </c>
      <c r="D29" s="7" t="str">
        <f t="shared" si="1"/>
        <v/>
      </c>
      <c r="E29" s="7" t="str">
        <f t="shared" si="2"/>
        <v/>
      </c>
      <c r="F29" s="38" t="str">
        <f>If(A29&lt;&gt;"",Dashboard!G37,"")</f>
        <v/>
      </c>
      <c r="G29" s="42" t="str">
        <f t="shared" si="3"/>
        <v/>
      </c>
    </row>
    <row r="30" ht="15.75" customHeight="1">
      <c r="A30" s="7" t="str">
        <f>If(Dashboard!G38=TODAY(),Dashboard!B38,"")</f>
        <v/>
      </c>
      <c r="B30" s="7" t="str">
        <f>If(Dashboard!G38=TODAY(),IF(Dashboard!E38&lt;&gt;"", Dashboard!E38*(-1), ""), "")</f>
        <v/>
      </c>
      <c r="C30" s="7" t="str">
        <f>If(A30&lt;&gt;"",Dashboard!F38,"")</f>
        <v/>
      </c>
      <c r="D30" s="7" t="str">
        <f t="shared" si="1"/>
        <v/>
      </c>
      <c r="E30" s="7" t="str">
        <f t="shared" si="2"/>
        <v/>
      </c>
      <c r="F30" s="38" t="str">
        <f>If(A30&lt;&gt;"",Dashboard!G38,"")</f>
        <v/>
      </c>
      <c r="G30" s="42" t="str">
        <f t="shared" si="3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4" max="4" width="25.5"/>
    <col customWidth="1" min="5" max="5" width="45.0"/>
    <col customWidth="1" min="6" max="6" width="14.25"/>
    <col customWidth="1" min="7" max="7" width="22.25"/>
  </cols>
  <sheetData>
    <row r="1" ht="15.75" customHeight="1">
      <c r="A1" s="7" t="str">
        <f>If(Dashboard!N9=TODAY(),Dashboard!I9,"")</f>
        <v/>
      </c>
      <c r="B1" s="7" t="str">
        <f>If(Dashboard!N9=TODAY(),IF(Dashboard!L9&lt;&gt;"", Dashboard!L9*(-1), ""), "")</f>
        <v/>
      </c>
      <c r="C1" s="7" t="str">
        <f>If(A1&lt;&gt;"",Dashboard!M9,"")</f>
        <v/>
      </c>
      <c r="D1" s="7" t="str">
        <f t="shared" ref="D1:D30" si="1">If(A1&lt;&gt;"","Internal Product Testing Samples","")</f>
        <v/>
      </c>
      <c r="E1" s="7" t="str">
        <f t="shared" ref="E1:E30" si="2">If(A1&lt;&gt;"","Sample provided to Jordan Patel (Metrc #1108885639)","")</f>
        <v/>
      </c>
      <c r="F1" s="38" t="str">
        <f>If(A1&lt;&gt;"",Dashboard!N9,"")</f>
        <v/>
      </c>
      <c r="G1" s="42" t="str">
        <f t="shared" ref="G1:G30" si="3">If(A1&lt;&gt;"","0816943728","")</f>
        <v/>
      </c>
    </row>
    <row r="2" ht="15.75" customHeight="1">
      <c r="A2" s="7" t="str">
        <f>If(Dashboard!N10=TODAY(),Dashboard!I10,"")</f>
        <v>1A40503000B23CD000004771</v>
      </c>
      <c r="B2" s="7">
        <f>If(Dashboard!N10=TODAY(),IF(Dashboard!L10&lt;&gt;"", Dashboard!L10*(-1), ""), "")</f>
        <v>-14</v>
      </c>
      <c r="C2" s="7" t="str">
        <f>If(A2&lt;&gt;"",Dashboard!M10,"")</f>
        <v>Grams</v>
      </c>
      <c r="D2" s="7" t="str">
        <f t="shared" si="1"/>
        <v>Internal Product Testing Samples</v>
      </c>
      <c r="E2" s="7" t="str">
        <f t="shared" si="2"/>
        <v>Sample provided to Jordan Patel (Metrc #1108885639)</v>
      </c>
      <c r="F2" s="38">
        <f>If(A2&lt;&gt;"",Dashboard!N10,"")</f>
        <v>46005</v>
      </c>
      <c r="G2" s="42" t="str">
        <f t="shared" si="3"/>
        <v>0816943728</v>
      </c>
    </row>
    <row r="3" ht="15.75" customHeight="1">
      <c r="A3" s="7" t="str">
        <f>If(Dashboard!N11=TODAY(),Dashboard!I11,"")</f>
        <v>1A405030002F9A8000006935</v>
      </c>
      <c r="B3" s="7">
        <f>If(Dashboard!N11=TODAY(),IF(Dashboard!L11&lt;&gt;"", Dashboard!L11*(-1), ""), "")</f>
        <v>-1</v>
      </c>
      <c r="C3" s="7" t="str">
        <f>If(A3&lt;&gt;"",Dashboard!M11,"")</f>
        <v>Each</v>
      </c>
      <c r="D3" s="7" t="str">
        <f t="shared" si="1"/>
        <v>Internal Product Testing Samples</v>
      </c>
      <c r="E3" s="7" t="str">
        <f t="shared" si="2"/>
        <v>Sample provided to Jordan Patel (Metrc #1108885639)</v>
      </c>
      <c r="F3" s="38">
        <f>If(A3&lt;&gt;"",Dashboard!N11,"")</f>
        <v>46005</v>
      </c>
      <c r="G3" s="42" t="str">
        <f t="shared" si="3"/>
        <v>0816943728</v>
      </c>
    </row>
    <row r="4" ht="15.75" customHeight="1">
      <c r="A4" s="7" t="str">
        <f>If(Dashboard!N12=TODAY(),Dashboard!I12,"")</f>
        <v/>
      </c>
      <c r="B4" s="7" t="str">
        <f>If(Dashboard!N12=TODAY(),IF(Dashboard!L12&lt;&gt;"", Dashboard!L12*(-1), ""), "")</f>
        <v/>
      </c>
      <c r="C4" s="7" t="str">
        <f>If(A4&lt;&gt;"",Dashboard!M12,"")</f>
        <v/>
      </c>
      <c r="D4" s="7" t="str">
        <f t="shared" si="1"/>
        <v/>
      </c>
      <c r="E4" s="7" t="str">
        <f t="shared" si="2"/>
        <v/>
      </c>
      <c r="F4" s="38" t="str">
        <f>If(A4&lt;&gt;"",Dashboard!N12,"")</f>
        <v/>
      </c>
      <c r="G4" s="42" t="str">
        <f t="shared" si="3"/>
        <v/>
      </c>
    </row>
    <row r="5" ht="15.75" customHeight="1">
      <c r="A5" s="7" t="str">
        <f>If(Dashboard!N13=TODAY(),Dashboard!I13,"")</f>
        <v/>
      </c>
      <c r="B5" s="7" t="str">
        <f>If(Dashboard!N13=TODAY(),IF(Dashboard!L13&lt;&gt;"", Dashboard!L13*(-1), ""), "")</f>
        <v/>
      </c>
      <c r="C5" s="7" t="str">
        <f>If(A5&lt;&gt;"",Dashboard!M13,"")</f>
        <v/>
      </c>
      <c r="D5" s="7" t="str">
        <f t="shared" si="1"/>
        <v/>
      </c>
      <c r="E5" s="7" t="str">
        <f t="shared" si="2"/>
        <v/>
      </c>
      <c r="F5" s="38" t="str">
        <f>If(A5&lt;&gt;"",Dashboard!N13,"")</f>
        <v/>
      </c>
      <c r="G5" s="42" t="str">
        <f t="shared" si="3"/>
        <v/>
      </c>
    </row>
    <row r="6" ht="15.75" customHeight="1">
      <c r="A6" s="7" t="str">
        <f>If(Dashboard!N14=TODAY(),Dashboard!I14,"")</f>
        <v/>
      </c>
      <c r="B6" s="7" t="str">
        <f>If(Dashboard!N14=TODAY(),IF(Dashboard!L14&lt;&gt;"", Dashboard!L14*(-1), ""), "")</f>
        <v/>
      </c>
      <c r="C6" s="7" t="str">
        <f>If(A6&lt;&gt;"",Dashboard!M14,"")</f>
        <v/>
      </c>
      <c r="D6" s="7" t="str">
        <f t="shared" si="1"/>
        <v/>
      </c>
      <c r="E6" s="7" t="str">
        <f t="shared" si="2"/>
        <v/>
      </c>
      <c r="F6" s="38" t="str">
        <f>If(A6&lt;&gt;"",Dashboard!N14,"")</f>
        <v/>
      </c>
      <c r="G6" s="42" t="str">
        <f t="shared" si="3"/>
        <v/>
      </c>
    </row>
    <row r="7" ht="15.75" customHeight="1">
      <c r="A7" s="7" t="str">
        <f>If(Dashboard!N15=TODAY(),Dashboard!I15,"")</f>
        <v/>
      </c>
      <c r="B7" s="7" t="str">
        <f>If(Dashboard!N15=TODAY(),IF(Dashboard!L15&lt;&gt;"", Dashboard!L15*(-1), ""), "")</f>
        <v/>
      </c>
      <c r="C7" s="7" t="str">
        <f>If(A7&lt;&gt;"",Dashboard!M15,"")</f>
        <v/>
      </c>
      <c r="D7" s="7" t="str">
        <f t="shared" si="1"/>
        <v/>
      </c>
      <c r="E7" s="7" t="str">
        <f t="shared" si="2"/>
        <v/>
      </c>
      <c r="F7" s="38" t="str">
        <f>If(A7&lt;&gt;"",Dashboard!N15,"")</f>
        <v/>
      </c>
      <c r="G7" s="42" t="str">
        <f t="shared" si="3"/>
        <v/>
      </c>
    </row>
    <row r="8" ht="15.75" customHeight="1">
      <c r="A8" s="7" t="str">
        <f>If(Dashboard!N16=TODAY(),Dashboard!I16,"")</f>
        <v/>
      </c>
      <c r="B8" s="7" t="str">
        <f>If(Dashboard!N16=TODAY(),IF(Dashboard!L16&lt;&gt;"", Dashboard!L16*(-1), ""), "")</f>
        <v/>
      </c>
      <c r="C8" s="7" t="str">
        <f>If(A8&lt;&gt;"",Dashboard!M16,"")</f>
        <v/>
      </c>
      <c r="D8" s="7" t="str">
        <f t="shared" si="1"/>
        <v/>
      </c>
      <c r="E8" s="7" t="str">
        <f t="shared" si="2"/>
        <v/>
      </c>
      <c r="F8" s="38" t="str">
        <f>If(A8&lt;&gt;"",Dashboard!N16,"")</f>
        <v/>
      </c>
      <c r="G8" s="42" t="str">
        <f t="shared" si="3"/>
        <v/>
      </c>
    </row>
    <row r="9" ht="15.75" customHeight="1">
      <c r="A9" s="7" t="str">
        <f>If(Dashboard!N17=TODAY(),Dashboard!I17,"")</f>
        <v/>
      </c>
      <c r="B9" s="7" t="str">
        <f>If(Dashboard!N17=TODAY(),IF(Dashboard!L17&lt;&gt;"", Dashboard!L17*(-1), ""), "")</f>
        <v/>
      </c>
      <c r="C9" s="7" t="str">
        <f>If(A9&lt;&gt;"",Dashboard!M17,"")</f>
        <v/>
      </c>
      <c r="D9" s="7" t="str">
        <f t="shared" si="1"/>
        <v/>
      </c>
      <c r="E9" s="7" t="str">
        <f t="shared" si="2"/>
        <v/>
      </c>
      <c r="F9" s="38" t="str">
        <f>If(A9&lt;&gt;"",Dashboard!N17,"")</f>
        <v/>
      </c>
      <c r="G9" s="42" t="str">
        <f t="shared" si="3"/>
        <v/>
      </c>
    </row>
    <row r="10" ht="15.75" customHeight="1">
      <c r="A10" s="7" t="str">
        <f>If(Dashboard!N18=TODAY(),Dashboard!I18,"")</f>
        <v/>
      </c>
      <c r="B10" s="7" t="str">
        <f>If(Dashboard!N18=TODAY(),IF(Dashboard!L18&lt;&gt;"", Dashboard!L18*(-1), ""), "")</f>
        <v/>
      </c>
      <c r="C10" s="7" t="str">
        <f>If(A10&lt;&gt;"",Dashboard!M18,"")</f>
        <v/>
      </c>
      <c r="D10" s="7" t="str">
        <f t="shared" si="1"/>
        <v/>
      </c>
      <c r="E10" s="7" t="str">
        <f t="shared" si="2"/>
        <v/>
      </c>
      <c r="F10" s="38" t="str">
        <f>If(A10&lt;&gt;"",Dashboard!N18,"")</f>
        <v/>
      </c>
      <c r="G10" s="42" t="str">
        <f t="shared" si="3"/>
        <v/>
      </c>
    </row>
    <row r="11" ht="15.75" customHeight="1">
      <c r="A11" s="7" t="str">
        <f>If(Dashboard!N19=TODAY(),Dashboard!I19,"")</f>
        <v/>
      </c>
      <c r="B11" s="7" t="str">
        <f>If(Dashboard!N19=TODAY(),IF(Dashboard!L19&lt;&gt;"", Dashboard!L19*(-1), ""), "")</f>
        <v/>
      </c>
      <c r="C11" s="7" t="str">
        <f>If(A11&lt;&gt;"",Dashboard!M19,"")</f>
        <v/>
      </c>
      <c r="D11" s="7" t="str">
        <f t="shared" si="1"/>
        <v/>
      </c>
      <c r="E11" s="7" t="str">
        <f t="shared" si="2"/>
        <v/>
      </c>
      <c r="F11" s="38" t="str">
        <f>If(A11&lt;&gt;"",Dashboard!N19,"")</f>
        <v/>
      </c>
      <c r="G11" s="42" t="str">
        <f t="shared" si="3"/>
        <v/>
      </c>
    </row>
    <row r="12" ht="15.75" customHeight="1">
      <c r="A12" s="7" t="str">
        <f>If(Dashboard!N20=TODAY(),Dashboard!I20,"")</f>
        <v/>
      </c>
      <c r="B12" s="7" t="str">
        <f>If(Dashboard!N20=TODAY(),IF(Dashboard!L20&lt;&gt;"", Dashboard!L20*(-1), ""), "")</f>
        <v/>
      </c>
      <c r="C12" s="7" t="str">
        <f>If(A12&lt;&gt;"",Dashboard!M20,"")</f>
        <v/>
      </c>
      <c r="D12" s="7" t="str">
        <f t="shared" si="1"/>
        <v/>
      </c>
      <c r="E12" s="7" t="str">
        <f t="shared" si="2"/>
        <v/>
      </c>
      <c r="F12" s="38" t="str">
        <f>If(A12&lt;&gt;"",Dashboard!N20,"")</f>
        <v/>
      </c>
      <c r="G12" s="42" t="str">
        <f t="shared" si="3"/>
        <v/>
      </c>
    </row>
    <row r="13" ht="15.75" customHeight="1">
      <c r="A13" s="7" t="str">
        <f>If(Dashboard!N21=TODAY(),Dashboard!I21,"")</f>
        <v/>
      </c>
      <c r="B13" s="7" t="str">
        <f>If(Dashboard!N21=TODAY(),IF(Dashboard!L21&lt;&gt;"", Dashboard!L21*(-1), ""), "")</f>
        <v/>
      </c>
      <c r="C13" s="7" t="str">
        <f>If(A13&lt;&gt;"",Dashboard!M21,"")</f>
        <v/>
      </c>
      <c r="D13" s="7" t="str">
        <f t="shared" si="1"/>
        <v/>
      </c>
      <c r="E13" s="7" t="str">
        <f t="shared" si="2"/>
        <v/>
      </c>
      <c r="F13" s="38" t="str">
        <f>If(A13&lt;&gt;"",Dashboard!N21,"")</f>
        <v/>
      </c>
      <c r="G13" s="42" t="str">
        <f t="shared" si="3"/>
        <v/>
      </c>
    </row>
    <row r="14" ht="15.75" customHeight="1">
      <c r="A14" s="7" t="str">
        <f>If(Dashboard!N22=TODAY(),Dashboard!I22,"")</f>
        <v/>
      </c>
      <c r="B14" s="7" t="str">
        <f>If(Dashboard!N22=TODAY(),IF(Dashboard!L22&lt;&gt;"", Dashboard!L22*(-1), ""), "")</f>
        <v/>
      </c>
      <c r="C14" s="7" t="str">
        <f>If(A14&lt;&gt;"",Dashboard!M22,"")</f>
        <v/>
      </c>
      <c r="D14" s="7" t="str">
        <f t="shared" si="1"/>
        <v/>
      </c>
      <c r="E14" s="7" t="str">
        <f t="shared" si="2"/>
        <v/>
      </c>
      <c r="F14" s="38" t="str">
        <f>If(A14&lt;&gt;"",Dashboard!N22,"")</f>
        <v/>
      </c>
      <c r="G14" s="42" t="str">
        <f t="shared" si="3"/>
        <v/>
      </c>
    </row>
    <row r="15" ht="15.75" customHeight="1">
      <c r="A15" s="7" t="str">
        <f>If(Dashboard!N23=TODAY(),Dashboard!I23,"")</f>
        <v/>
      </c>
      <c r="B15" s="7" t="str">
        <f>If(Dashboard!N23=TODAY(),IF(Dashboard!L23&lt;&gt;"", Dashboard!L23*(-1), ""), "")</f>
        <v/>
      </c>
      <c r="C15" s="7" t="str">
        <f>If(A15&lt;&gt;"",Dashboard!M23,"")</f>
        <v/>
      </c>
      <c r="D15" s="7" t="str">
        <f t="shared" si="1"/>
        <v/>
      </c>
      <c r="E15" s="7" t="str">
        <f t="shared" si="2"/>
        <v/>
      </c>
      <c r="F15" s="38" t="str">
        <f>If(A15&lt;&gt;"",Dashboard!N23,"")</f>
        <v/>
      </c>
      <c r="G15" s="42" t="str">
        <f t="shared" si="3"/>
        <v/>
      </c>
    </row>
    <row r="16" ht="15.75" customHeight="1">
      <c r="A16" s="7" t="str">
        <f>If(Dashboard!N24=TODAY(),Dashboard!I24,"")</f>
        <v/>
      </c>
      <c r="B16" s="7" t="str">
        <f>If(Dashboard!N24=TODAY(),IF(Dashboard!L24&lt;&gt;"", Dashboard!L24*(-1), ""), "")</f>
        <v/>
      </c>
      <c r="C16" s="7" t="str">
        <f>If(A16&lt;&gt;"",Dashboard!M24,"")</f>
        <v/>
      </c>
      <c r="D16" s="7" t="str">
        <f t="shared" si="1"/>
        <v/>
      </c>
      <c r="E16" s="7" t="str">
        <f t="shared" si="2"/>
        <v/>
      </c>
      <c r="F16" s="38" t="str">
        <f>If(A16&lt;&gt;"",Dashboard!N24,"")</f>
        <v/>
      </c>
      <c r="G16" s="42" t="str">
        <f t="shared" si="3"/>
        <v/>
      </c>
    </row>
    <row r="17" ht="15.75" customHeight="1">
      <c r="A17" s="7" t="str">
        <f>If(Dashboard!N25=TODAY(),Dashboard!I25,"")</f>
        <v/>
      </c>
      <c r="B17" s="7" t="str">
        <f>If(Dashboard!N25=TODAY(),IF(Dashboard!L25&lt;&gt;"", Dashboard!L25*(-1), ""), "")</f>
        <v/>
      </c>
      <c r="C17" s="7" t="str">
        <f>If(A17&lt;&gt;"",Dashboard!M25,"")</f>
        <v/>
      </c>
      <c r="D17" s="7" t="str">
        <f t="shared" si="1"/>
        <v/>
      </c>
      <c r="E17" s="7" t="str">
        <f t="shared" si="2"/>
        <v/>
      </c>
      <c r="F17" s="38" t="str">
        <f>If(A17&lt;&gt;"",Dashboard!N25,"")</f>
        <v/>
      </c>
      <c r="G17" s="42" t="str">
        <f t="shared" si="3"/>
        <v/>
      </c>
    </row>
    <row r="18" ht="15.75" customHeight="1">
      <c r="A18" s="7" t="str">
        <f>If(Dashboard!N26=TODAY(),Dashboard!I26,"")</f>
        <v/>
      </c>
      <c r="B18" s="7" t="str">
        <f>If(Dashboard!N26=TODAY(),IF(Dashboard!L26&lt;&gt;"", Dashboard!L26*(-1), ""), "")</f>
        <v/>
      </c>
      <c r="C18" s="7" t="str">
        <f>If(A18&lt;&gt;"",Dashboard!M26,"")</f>
        <v/>
      </c>
      <c r="D18" s="7" t="str">
        <f t="shared" si="1"/>
        <v/>
      </c>
      <c r="E18" s="7" t="str">
        <f t="shared" si="2"/>
        <v/>
      </c>
      <c r="F18" s="38" t="str">
        <f>If(A18&lt;&gt;"",Dashboard!N26,"")</f>
        <v/>
      </c>
      <c r="G18" s="42" t="str">
        <f t="shared" si="3"/>
        <v/>
      </c>
    </row>
    <row r="19" ht="15.75" customHeight="1">
      <c r="A19" s="7" t="str">
        <f>If(Dashboard!N27=TODAY(),Dashboard!I27,"")</f>
        <v/>
      </c>
      <c r="B19" s="7" t="str">
        <f>If(Dashboard!N27=TODAY(),IF(Dashboard!L27&lt;&gt;"", Dashboard!L27*(-1), ""), "")</f>
        <v/>
      </c>
      <c r="C19" s="7" t="str">
        <f>If(A19&lt;&gt;"",Dashboard!M27,"")</f>
        <v/>
      </c>
      <c r="D19" s="7" t="str">
        <f t="shared" si="1"/>
        <v/>
      </c>
      <c r="E19" s="7" t="str">
        <f t="shared" si="2"/>
        <v/>
      </c>
      <c r="F19" s="38" t="str">
        <f>If(A19&lt;&gt;"",Dashboard!N27,"")</f>
        <v/>
      </c>
      <c r="G19" s="42" t="str">
        <f t="shared" si="3"/>
        <v/>
      </c>
    </row>
    <row r="20" ht="15.75" customHeight="1">
      <c r="A20" s="7" t="str">
        <f>If(Dashboard!N28=TODAY(),Dashboard!I28,"")</f>
        <v/>
      </c>
      <c r="B20" s="7" t="str">
        <f>If(Dashboard!N28=TODAY(),IF(Dashboard!L28&lt;&gt;"", Dashboard!L28*(-1), ""), "")</f>
        <v/>
      </c>
      <c r="C20" s="7" t="str">
        <f>If(A20&lt;&gt;"",Dashboard!M28,"")</f>
        <v/>
      </c>
      <c r="D20" s="7" t="str">
        <f t="shared" si="1"/>
        <v/>
      </c>
      <c r="E20" s="7" t="str">
        <f t="shared" si="2"/>
        <v/>
      </c>
      <c r="F20" s="38" t="str">
        <f>If(A20&lt;&gt;"",Dashboard!N28,"")</f>
        <v/>
      </c>
      <c r="G20" s="42" t="str">
        <f t="shared" si="3"/>
        <v/>
      </c>
    </row>
    <row r="21" ht="15.75" customHeight="1">
      <c r="A21" s="7" t="str">
        <f>If(Dashboard!N29=TODAY(),Dashboard!I29,"")</f>
        <v/>
      </c>
      <c r="B21" s="7" t="str">
        <f>If(Dashboard!N29=TODAY(),IF(Dashboard!L29&lt;&gt;"", Dashboard!L29*(-1), ""), "")</f>
        <v/>
      </c>
      <c r="C21" s="7" t="str">
        <f>If(A21&lt;&gt;"",Dashboard!M29,"")</f>
        <v/>
      </c>
      <c r="D21" s="7" t="str">
        <f t="shared" si="1"/>
        <v/>
      </c>
      <c r="E21" s="7" t="str">
        <f t="shared" si="2"/>
        <v/>
      </c>
      <c r="F21" s="38" t="str">
        <f>If(A21&lt;&gt;"",Dashboard!N29,"")</f>
        <v/>
      </c>
      <c r="G21" s="42" t="str">
        <f t="shared" si="3"/>
        <v/>
      </c>
    </row>
    <row r="22" ht="15.75" customHeight="1">
      <c r="A22" s="7" t="str">
        <f>If(Dashboard!N30=TODAY(),Dashboard!I30,"")</f>
        <v/>
      </c>
      <c r="B22" s="7" t="str">
        <f>If(Dashboard!N30=TODAY(),IF(Dashboard!L30&lt;&gt;"", Dashboard!L30*(-1), ""), "")</f>
        <v/>
      </c>
      <c r="C22" s="7" t="str">
        <f>If(A22&lt;&gt;"",Dashboard!M30,"")</f>
        <v/>
      </c>
      <c r="D22" s="7" t="str">
        <f t="shared" si="1"/>
        <v/>
      </c>
      <c r="E22" s="7" t="str">
        <f t="shared" si="2"/>
        <v/>
      </c>
      <c r="F22" s="38" t="str">
        <f>If(A22&lt;&gt;"",Dashboard!N30,"")</f>
        <v/>
      </c>
      <c r="G22" s="42" t="str">
        <f t="shared" si="3"/>
        <v/>
      </c>
    </row>
    <row r="23" ht="15.75" customHeight="1">
      <c r="A23" s="7" t="str">
        <f>If(Dashboard!N31=TODAY(),Dashboard!I31,"")</f>
        <v/>
      </c>
      <c r="B23" s="7" t="str">
        <f>If(Dashboard!N31=TODAY(),IF(Dashboard!L31&lt;&gt;"", Dashboard!L31*(-1), ""), "")</f>
        <v/>
      </c>
      <c r="C23" s="7" t="str">
        <f>If(A23&lt;&gt;"",Dashboard!M31,"")</f>
        <v/>
      </c>
      <c r="D23" s="7" t="str">
        <f t="shared" si="1"/>
        <v/>
      </c>
      <c r="E23" s="7" t="str">
        <f t="shared" si="2"/>
        <v/>
      </c>
      <c r="F23" s="38" t="str">
        <f>If(A23&lt;&gt;"",Dashboard!N31,"")</f>
        <v/>
      </c>
      <c r="G23" s="42" t="str">
        <f t="shared" si="3"/>
        <v/>
      </c>
    </row>
    <row r="24" ht="15.75" customHeight="1">
      <c r="A24" s="7" t="str">
        <f>If(Dashboard!N32=TODAY(),Dashboard!I32,"")</f>
        <v/>
      </c>
      <c r="B24" s="7" t="str">
        <f>If(Dashboard!N32=TODAY(),IF(Dashboard!L32&lt;&gt;"", Dashboard!L32*(-1), ""), "")</f>
        <v/>
      </c>
      <c r="C24" s="7" t="str">
        <f>If(A24&lt;&gt;"",Dashboard!M32,"")</f>
        <v/>
      </c>
      <c r="D24" s="7" t="str">
        <f t="shared" si="1"/>
        <v/>
      </c>
      <c r="E24" s="7" t="str">
        <f t="shared" si="2"/>
        <v/>
      </c>
      <c r="F24" s="38" t="str">
        <f>If(A24&lt;&gt;"",Dashboard!N32,"")</f>
        <v/>
      </c>
      <c r="G24" s="42" t="str">
        <f t="shared" si="3"/>
        <v/>
      </c>
    </row>
    <row r="25" ht="15.75" customHeight="1">
      <c r="A25" s="7" t="str">
        <f>If(Dashboard!N33=TODAY(),Dashboard!I33,"")</f>
        <v/>
      </c>
      <c r="B25" s="7" t="str">
        <f>If(Dashboard!N33=TODAY(),IF(Dashboard!L33&lt;&gt;"", Dashboard!L33*(-1), ""), "")</f>
        <v/>
      </c>
      <c r="C25" s="7" t="str">
        <f>If(A25&lt;&gt;"",Dashboard!M33,"")</f>
        <v/>
      </c>
      <c r="D25" s="7" t="str">
        <f t="shared" si="1"/>
        <v/>
      </c>
      <c r="E25" s="7" t="str">
        <f t="shared" si="2"/>
        <v/>
      </c>
      <c r="F25" s="38" t="str">
        <f>If(A25&lt;&gt;"",Dashboard!N33,"")</f>
        <v/>
      </c>
      <c r="G25" s="42" t="str">
        <f t="shared" si="3"/>
        <v/>
      </c>
    </row>
    <row r="26" ht="15.75" customHeight="1">
      <c r="A26" s="7" t="str">
        <f>If(Dashboard!N34=TODAY(),Dashboard!I34,"")</f>
        <v/>
      </c>
      <c r="B26" s="7" t="str">
        <f>If(Dashboard!N34=TODAY(),IF(Dashboard!L34&lt;&gt;"", Dashboard!L34*(-1), ""), "")</f>
        <v/>
      </c>
      <c r="C26" s="7" t="str">
        <f>If(A26&lt;&gt;"",Dashboard!M34,"")</f>
        <v/>
      </c>
      <c r="D26" s="7" t="str">
        <f t="shared" si="1"/>
        <v/>
      </c>
      <c r="E26" s="7" t="str">
        <f t="shared" si="2"/>
        <v/>
      </c>
      <c r="F26" s="38" t="str">
        <f>If(A26&lt;&gt;"",Dashboard!N34,"")</f>
        <v/>
      </c>
      <c r="G26" s="42" t="str">
        <f t="shared" si="3"/>
        <v/>
      </c>
    </row>
    <row r="27" ht="15.75" customHeight="1">
      <c r="A27" s="7" t="str">
        <f>If(Dashboard!N35=TODAY(),Dashboard!I35,"")</f>
        <v/>
      </c>
      <c r="B27" s="7" t="str">
        <f>If(Dashboard!N35=TODAY(),IF(Dashboard!L35&lt;&gt;"", Dashboard!L35*(-1), ""), "")</f>
        <v/>
      </c>
      <c r="C27" s="7" t="str">
        <f>If(A27&lt;&gt;"",Dashboard!M35,"")</f>
        <v/>
      </c>
      <c r="D27" s="7" t="str">
        <f t="shared" si="1"/>
        <v/>
      </c>
      <c r="E27" s="7" t="str">
        <f t="shared" si="2"/>
        <v/>
      </c>
      <c r="F27" s="38" t="str">
        <f>If(A27&lt;&gt;"",Dashboard!N35,"")</f>
        <v/>
      </c>
      <c r="G27" s="42" t="str">
        <f t="shared" si="3"/>
        <v/>
      </c>
    </row>
    <row r="28" ht="15.75" customHeight="1">
      <c r="A28" s="7" t="str">
        <f>If(Dashboard!N36=TODAY(),Dashboard!I36,"")</f>
        <v/>
      </c>
      <c r="B28" s="7" t="str">
        <f>If(Dashboard!N36=TODAY(),IF(Dashboard!L36&lt;&gt;"", Dashboard!L36*(-1), ""), "")</f>
        <v/>
      </c>
      <c r="C28" s="7" t="str">
        <f>If(A28&lt;&gt;"",Dashboard!M36,"")</f>
        <v/>
      </c>
      <c r="D28" s="7" t="str">
        <f t="shared" si="1"/>
        <v/>
      </c>
      <c r="E28" s="7" t="str">
        <f t="shared" si="2"/>
        <v/>
      </c>
      <c r="F28" s="38" t="str">
        <f>If(A28&lt;&gt;"",Dashboard!N36,"")</f>
        <v/>
      </c>
      <c r="G28" s="42" t="str">
        <f t="shared" si="3"/>
        <v/>
      </c>
    </row>
    <row r="29" ht="15.75" customHeight="1">
      <c r="A29" s="7" t="str">
        <f>If(Dashboard!N37=TODAY(),Dashboard!I37,"")</f>
        <v/>
      </c>
      <c r="B29" s="7" t="str">
        <f>If(Dashboard!N37=TODAY(),IF(Dashboard!L37&lt;&gt;"", Dashboard!L37*(-1), ""), "")</f>
        <v/>
      </c>
      <c r="C29" s="7" t="str">
        <f>If(A29&lt;&gt;"",Dashboard!M37,"")</f>
        <v/>
      </c>
      <c r="D29" s="7" t="str">
        <f t="shared" si="1"/>
        <v/>
      </c>
      <c r="E29" s="7" t="str">
        <f t="shared" si="2"/>
        <v/>
      </c>
      <c r="F29" s="38" t="str">
        <f>If(A29&lt;&gt;"",Dashboard!N37,"")</f>
        <v/>
      </c>
      <c r="G29" s="42" t="str">
        <f t="shared" si="3"/>
        <v/>
      </c>
    </row>
    <row r="30" ht="15.75" customHeight="1">
      <c r="A30" s="7" t="str">
        <f>If(Dashboard!N38=TODAY(),Dashboard!I38,"")</f>
        <v/>
      </c>
      <c r="B30" s="7" t="str">
        <f>If(Dashboard!N38=TODAY(),IF(Dashboard!L38&lt;&gt;"", Dashboard!L38*(-1), ""), "")</f>
        <v/>
      </c>
      <c r="C30" s="7" t="str">
        <f>If(A30&lt;&gt;"",Dashboard!M38,"")</f>
        <v/>
      </c>
      <c r="D30" s="7" t="str">
        <f t="shared" si="1"/>
        <v/>
      </c>
      <c r="E30" s="7" t="str">
        <f t="shared" si="2"/>
        <v/>
      </c>
      <c r="F30" s="38" t="str">
        <f>If(A30&lt;&gt;"",Dashboard!N38,"")</f>
        <v/>
      </c>
      <c r="G30" s="42" t="str">
        <f t="shared" si="3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4" max="4" width="25.5"/>
    <col customWidth="1" min="5" max="5" width="45.0"/>
    <col customWidth="1" min="6" max="6" width="14.25"/>
    <col customWidth="1" min="7" max="7" width="22.25"/>
  </cols>
  <sheetData>
    <row r="1" ht="15.75" customHeight="1">
      <c r="A1" s="7" t="str">
        <f>If(Dashboard!U9=TODAY(),Dashboard!P9,"")</f>
        <v>1A4050300051E4D000002946</v>
      </c>
      <c r="B1" s="7">
        <f>If(Dashboard!U9=TODAY(),IF(Dashboard!S9&lt;&gt;"", Dashboard!S9*(-1), ""), "")</f>
        <v>-6</v>
      </c>
      <c r="C1" s="7" t="str">
        <f>If(A1&lt;&gt;"",Dashboard!T9,"")</f>
        <v>Each</v>
      </c>
      <c r="D1" s="7" t="str">
        <f t="shared" ref="D1:D30" si="1">If(A1&lt;&gt;"","Internal Product Testing Samples","")</f>
        <v>Internal Product Testing Samples</v>
      </c>
      <c r="E1" s="7" t="str">
        <f t="shared" ref="E1:E30" si="2">If(A1&lt;&gt;"","Sample provided to Taylor Brooks (Metrc #0621952741)","")</f>
        <v>Sample provided to Taylor Brooks (Metrc #0621952741)</v>
      </c>
      <c r="F1" s="38">
        <f>If(A1&lt;&gt;"",Dashboard!U9,"")</f>
        <v>46005</v>
      </c>
      <c r="G1" s="42" t="str">
        <f t="shared" ref="G1:G30" si="3">If(A1&lt;&gt;"","0816943728","")</f>
        <v>0816943728</v>
      </c>
    </row>
    <row r="2" ht="15.75" customHeight="1">
      <c r="A2" s="7" t="str">
        <f>If(Dashboard!U10=TODAY(),Dashboard!P10,"")</f>
        <v>1A405030009D7A2000007314</v>
      </c>
      <c r="B2" s="7">
        <f>If(Dashboard!U10=TODAY(),IF(Dashboard!S10&lt;&gt;"", Dashboard!S10*(-1), ""), "")</f>
        <v>-1</v>
      </c>
      <c r="C2" s="7" t="str">
        <f>If(A2&lt;&gt;"",Dashboard!T10,"")</f>
        <v>Each</v>
      </c>
      <c r="D2" s="7" t="str">
        <f t="shared" si="1"/>
        <v>Internal Product Testing Samples</v>
      </c>
      <c r="E2" s="7" t="str">
        <f t="shared" si="2"/>
        <v>Sample provided to Taylor Brooks (Metrc #0621952741)</v>
      </c>
      <c r="F2" s="38">
        <f>If(A2&lt;&gt;"",Dashboard!U10,"")</f>
        <v>46005</v>
      </c>
      <c r="G2" s="42" t="str">
        <f t="shared" si="3"/>
        <v>0816943728</v>
      </c>
    </row>
    <row r="3" ht="15.75" customHeight="1">
      <c r="A3" s="7" t="str">
        <f>If(Dashboard!U11=TODAY(),Dashboard!P11,"")</f>
        <v/>
      </c>
      <c r="B3" s="7" t="str">
        <f>If(Dashboard!U11=TODAY(),IF(Dashboard!S11&lt;&gt;"", Dashboard!S11*(-1), ""), "")</f>
        <v/>
      </c>
      <c r="C3" s="7" t="str">
        <f>If(A3&lt;&gt;"",Dashboard!T11,"")</f>
        <v/>
      </c>
      <c r="D3" s="7" t="str">
        <f t="shared" si="1"/>
        <v/>
      </c>
      <c r="E3" s="7" t="str">
        <f t="shared" si="2"/>
        <v/>
      </c>
      <c r="F3" s="38" t="str">
        <f>If(A3&lt;&gt;"",Dashboard!U11,"")</f>
        <v/>
      </c>
      <c r="G3" s="42" t="str">
        <f t="shared" si="3"/>
        <v/>
      </c>
    </row>
    <row r="4" ht="15.75" customHeight="1">
      <c r="A4" s="7" t="str">
        <f>If(Dashboard!U12=TODAY(),Dashboard!P12,"")</f>
        <v/>
      </c>
      <c r="B4" s="7" t="str">
        <f>If(Dashboard!U12=TODAY(),IF(Dashboard!S12&lt;&gt;"", Dashboard!S12*(-1), ""), "")</f>
        <v/>
      </c>
      <c r="C4" s="7" t="str">
        <f>If(A4&lt;&gt;"",Dashboard!T12,"")</f>
        <v/>
      </c>
      <c r="D4" s="7" t="str">
        <f t="shared" si="1"/>
        <v/>
      </c>
      <c r="E4" s="7" t="str">
        <f t="shared" si="2"/>
        <v/>
      </c>
      <c r="F4" s="38" t="str">
        <f>If(A4&lt;&gt;"",Dashboard!U12,"")</f>
        <v/>
      </c>
      <c r="G4" s="42" t="str">
        <f t="shared" si="3"/>
        <v/>
      </c>
    </row>
    <row r="5" ht="15.75" customHeight="1">
      <c r="A5" s="7" t="str">
        <f>If(Dashboard!U13=TODAY(),Dashboard!P13,"")</f>
        <v/>
      </c>
      <c r="B5" s="7" t="str">
        <f>If(Dashboard!U13=TODAY(),IF(Dashboard!S13&lt;&gt;"", Dashboard!S13*(-1), ""), "")</f>
        <v/>
      </c>
      <c r="C5" s="7" t="str">
        <f>If(A5&lt;&gt;"",Dashboard!T13,"")</f>
        <v/>
      </c>
      <c r="D5" s="7" t="str">
        <f t="shared" si="1"/>
        <v/>
      </c>
      <c r="E5" s="7" t="str">
        <f t="shared" si="2"/>
        <v/>
      </c>
      <c r="F5" s="38" t="str">
        <f>If(A5&lt;&gt;"",Dashboard!U13,"")</f>
        <v/>
      </c>
      <c r="G5" s="42" t="str">
        <f t="shared" si="3"/>
        <v/>
      </c>
    </row>
    <row r="6" ht="15.75" customHeight="1">
      <c r="A6" s="7" t="str">
        <f>If(Dashboard!U14=TODAY(),Dashboard!P14,"")</f>
        <v/>
      </c>
      <c r="B6" s="7" t="str">
        <f>If(Dashboard!U14=TODAY(),IF(Dashboard!S14&lt;&gt;"", Dashboard!S14*(-1), ""), "")</f>
        <v/>
      </c>
      <c r="C6" s="7" t="str">
        <f>If(A6&lt;&gt;"",Dashboard!T14,"")</f>
        <v/>
      </c>
      <c r="D6" s="7" t="str">
        <f t="shared" si="1"/>
        <v/>
      </c>
      <c r="E6" s="7" t="str">
        <f t="shared" si="2"/>
        <v/>
      </c>
      <c r="F6" s="38" t="str">
        <f>If(A6&lt;&gt;"",Dashboard!U14,"")</f>
        <v/>
      </c>
      <c r="G6" s="42" t="str">
        <f t="shared" si="3"/>
        <v/>
      </c>
    </row>
    <row r="7" ht="15.75" customHeight="1">
      <c r="A7" s="7" t="str">
        <f>If(Dashboard!U15=TODAY(),Dashboard!P15,"")</f>
        <v/>
      </c>
      <c r="B7" s="7" t="str">
        <f>If(Dashboard!U15=TODAY(),IF(Dashboard!S15&lt;&gt;"", Dashboard!S15*(-1), ""), "")</f>
        <v/>
      </c>
      <c r="C7" s="7" t="str">
        <f>If(A7&lt;&gt;"",Dashboard!T15,"")</f>
        <v/>
      </c>
      <c r="D7" s="7" t="str">
        <f t="shared" si="1"/>
        <v/>
      </c>
      <c r="E7" s="7" t="str">
        <f t="shared" si="2"/>
        <v/>
      </c>
      <c r="F7" s="38" t="str">
        <f>If(A7&lt;&gt;"",Dashboard!U15,"")</f>
        <v/>
      </c>
      <c r="G7" s="42" t="str">
        <f t="shared" si="3"/>
        <v/>
      </c>
    </row>
    <row r="8" ht="15.75" customHeight="1">
      <c r="A8" s="7" t="str">
        <f>If(Dashboard!U16=TODAY(),Dashboard!P16,"")</f>
        <v/>
      </c>
      <c r="B8" s="7" t="str">
        <f>If(Dashboard!U16=TODAY(),IF(Dashboard!S16&lt;&gt;"", Dashboard!S16*(-1), ""), "")</f>
        <v/>
      </c>
      <c r="C8" s="7" t="str">
        <f>If(A8&lt;&gt;"",Dashboard!T16,"")</f>
        <v/>
      </c>
      <c r="D8" s="7" t="str">
        <f t="shared" si="1"/>
        <v/>
      </c>
      <c r="E8" s="7" t="str">
        <f t="shared" si="2"/>
        <v/>
      </c>
      <c r="F8" s="38" t="str">
        <f>If(A8&lt;&gt;"",Dashboard!U16,"")</f>
        <v/>
      </c>
      <c r="G8" s="42" t="str">
        <f t="shared" si="3"/>
        <v/>
      </c>
    </row>
    <row r="9" ht="15.75" customHeight="1">
      <c r="A9" s="7" t="str">
        <f>If(Dashboard!U17=TODAY(),Dashboard!P17,"")</f>
        <v/>
      </c>
      <c r="B9" s="7" t="str">
        <f>If(Dashboard!U17=TODAY(),IF(Dashboard!S17&lt;&gt;"", Dashboard!S17*(-1), ""), "")</f>
        <v/>
      </c>
      <c r="C9" s="7" t="str">
        <f>If(A9&lt;&gt;"",Dashboard!T17,"")</f>
        <v/>
      </c>
      <c r="D9" s="7" t="str">
        <f t="shared" si="1"/>
        <v/>
      </c>
      <c r="E9" s="7" t="str">
        <f t="shared" si="2"/>
        <v/>
      </c>
      <c r="F9" s="38" t="str">
        <f>If(A9&lt;&gt;"",Dashboard!U17,"")</f>
        <v/>
      </c>
      <c r="G9" s="42" t="str">
        <f t="shared" si="3"/>
        <v/>
      </c>
    </row>
    <row r="10" ht="15.75" customHeight="1">
      <c r="A10" s="7" t="str">
        <f>If(Dashboard!U18=TODAY(),Dashboard!P18,"")</f>
        <v/>
      </c>
      <c r="B10" s="7" t="str">
        <f>If(Dashboard!U18=TODAY(),IF(Dashboard!S18&lt;&gt;"", Dashboard!S18*(-1), ""), "")</f>
        <v/>
      </c>
      <c r="C10" s="7" t="str">
        <f>If(A10&lt;&gt;"",Dashboard!T18,"")</f>
        <v/>
      </c>
      <c r="D10" s="7" t="str">
        <f t="shared" si="1"/>
        <v/>
      </c>
      <c r="E10" s="7" t="str">
        <f t="shared" si="2"/>
        <v/>
      </c>
      <c r="F10" s="38" t="str">
        <f>If(A10&lt;&gt;"",Dashboard!U18,"")</f>
        <v/>
      </c>
      <c r="G10" s="42" t="str">
        <f t="shared" si="3"/>
        <v/>
      </c>
    </row>
    <row r="11" ht="15.75" customHeight="1">
      <c r="A11" s="7" t="str">
        <f>If(Dashboard!U19=TODAY(),Dashboard!P19,"")</f>
        <v/>
      </c>
      <c r="B11" s="7" t="str">
        <f>If(Dashboard!U19=TODAY(),IF(Dashboard!S19&lt;&gt;"", Dashboard!S19*(-1), ""), "")</f>
        <v/>
      </c>
      <c r="C11" s="7" t="str">
        <f>If(A11&lt;&gt;"",Dashboard!T19,"")</f>
        <v/>
      </c>
      <c r="D11" s="7" t="str">
        <f t="shared" si="1"/>
        <v/>
      </c>
      <c r="E11" s="7" t="str">
        <f t="shared" si="2"/>
        <v/>
      </c>
      <c r="F11" s="38" t="str">
        <f>If(A11&lt;&gt;"",Dashboard!U19,"")</f>
        <v/>
      </c>
      <c r="G11" s="42" t="str">
        <f t="shared" si="3"/>
        <v/>
      </c>
    </row>
    <row r="12" ht="15.75" customHeight="1">
      <c r="A12" s="7" t="str">
        <f>If(Dashboard!U20=TODAY(),Dashboard!P20,"")</f>
        <v/>
      </c>
      <c r="B12" s="7" t="str">
        <f>If(Dashboard!U20=TODAY(),IF(Dashboard!S20&lt;&gt;"", Dashboard!S20*(-1), ""), "")</f>
        <v/>
      </c>
      <c r="C12" s="7" t="str">
        <f>If(A12&lt;&gt;"",Dashboard!T20,"")</f>
        <v/>
      </c>
      <c r="D12" s="7" t="str">
        <f t="shared" si="1"/>
        <v/>
      </c>
      <c r="E12" s="7" t="str">
        <f t="shared" si="2"/>
        <v/>
      </c>
      <c r="F12" s="38" t="str">
        <f>If(A12&lt;&gt;"",Dashboard!U20,"")</f>
        <v/>
      </c>
      <c r="G12" s="42" t="str">
        <f t="shared" si="3"/>
        <v/>
      </c>
    </row>
    <row r="13" ht="15.75" customHeight="1">
      <c r="A13" s="7" t="str">
        <f>If(Dashboard!U21=TODAY(),Dashboard!P21,"")</f>
        <v/>
      </c>
      <c r="B13" s="7" t="str">
        <f>If(Dashboard!U21=TODAY(),IF(Dashboard!S21&lt;&gt;"", Dashboard!S21*(-1), ""), "")</f>
        <v/>
      </c>
      <c r="C13" s="7" t="str">
        <f>If(A13&lt;&gt;"",Dashboard!T21,"")</f>
        <v/>
      </c>
      <c r="D13" s="7" t="str">
        <f t="shared" si="1"/>
        <v/>
      </c>
      <c r="E13" s="7" t="str">
        <f t="shared" si="2"/>
        <v/>
      </c>
      <c r="F13" s="38" t="str">
        <f>If(A13&lt;&gt;"",Dashboard!U21,"")</f>
        <v/>
      </c>
      <c r="G13" s="42" t="str">
        <f t="shared" si="3"/>
        <v/>
      </c>
    </row>
    <row r="14" ht="15.75" customHeight="1">
      <c r="A14" s="7" t="str">
        <f>If(Dashboard!U22=TODAY(),Dashboard!P22,"")</f>
        <v/>
      </c>
      <c r="B14" s="7" t="str">
        <f>If(Dashboard!U22=TODAY(),IF(Dashboard!S22&lt;&gt;"", Dashboard!S22*(-1), ""), "")</f>
        <v/>
      </c>
      <c r="C14" s="7" t="str">
        <f>If(A14&lt;&gt;"",Dashboard!T22,"")</f>
        <v/>
      </c>
      <c r="D14" s="7" t="str">
        <f t="shared" si="1"/>
        <v/>
      </c>
      <c r="E14" s="7" t="str">
        <f t="shared" si="2"/>
        <v/>
      </c>
      <c r="F14" s="38" t="str">
        <f>If(A14&lt;&gt;"",Dashboard!U22,"")</f>
        <v/>
      </c>
      <c r="G14" s="42" t="str">
        <f t="shared" si="3"/>
        <v/>
      </c>
    </row>
    <row r="15" ht="15.75" customHeight="1">
      <c r="A15" s="7" t="str">
        <f>If(Dashboard!U23=TODAY(),Dashboard!P23,"")</f>
        <v/>
      </c>
      <c r="B15" s="7" t="str">
        <f>If(Dashboard!U23=TODAY(),IF(Dashboard!S23&lt;&gt;"", Dashboard!S23*(-1), ""), "")</f>
        <v/>
      </c>
      <c r="C15" s="7" t="str">
        <f>If(A15&lt;&gt;"",Dashboard!T23,"")</f>
        <v/>
      </c>
      <c r="D15" s="7" t="str">
        <f t="shared" si="1"/>
        <v/>
      </c>
      <c r="E15" s="7" t="str">
        <f t="shared" si="2"/>
        <v/>
      </c>
      <c r="F15" s="38" t="str">
        <f>If(A15&lt;&gt;"",Dashboard!U23,"")</f>
        <v/>
      </c>
      <c r="G15" s="42" t="str">
        <f t="shared" si="3"/>
        <v/>
      </c>
    </row>
    <row r="16" ht="15.75" customHeight="1">
      <c r="A16" s="7" t="str">
        <f>If(Dashboard!U24=TODAY(),Dashboard!P24,"")</f>
        <v/>
      </c>
      <c r="B16" s="7" t="str">
        <f>If(Dashboard!U24=TODAY(),IF(Dashboard!S24&lt;&gt;"", Dashboard!S24*(-1), ""), "")</f>
        <v/>
      </c>
      <c r="C16" s="7" t="str">
        <f>If(A16&lt;&gt;"",Dashboard!T24,"")</f>
        <v/>
      </c>
      <c r="D16" s="7" t="str">
        <f t="shared" si="1"/>
        <v/>
      </c>
      <c r="E16" s="7" t="str">
        <f t="shared" si="2"/>
        <v/>
      </c>
      <c r="F16" s="38" t="str">
        <f>If(A16&lt;&gt;"",Dashboard!U24,"")</f>
        <v/>
      </c>
      <c r="G16" s="42" t="str">
        <f t="shared" si="3"/>
        <v/>
      </c>
    </row>
    <row r="17" ht="15.75" customHeight="1">
      <c r="A17" s="7" t="str">
        <f>If(Dashboard!U25=TODAY(),Dashboard!P25,"")</f>
        <v/>
      </c>
      <c r="B17" s="7" t="str">
        <f>If(Dashboard!U25=TODAY(),IF(Dashboard!S25&lt;&gt;"", Dashboard!S25*(-1), ""), "")</f>
        <v/>
      </c>
      <c r="C17" s="7" t="str">
        <f>If(A17&lt;&gt;"",Dashboard!T25,"")</f>
        <v/>
      </c>
      <c r="D17" s="7" t="str">
        <f t="shared" si="1"/>
        <v/>
      </c>
      <c r="E17" s="7" t="str">
        <f t="shared" si="2"/>
        <v/>
      </c>
      <c r="F17" s="38" t="str">
        <f>If(A17&lt;&gt;"",Dashboard!U25,"")</f>
        <v/>
      </c>
      <c r="G17" s="42" t="str">
        <f t="shared" si="3"/>
        <v/>
      </c>
    </row>
    <row r="18" ht="15.75" customHeight="1">
      <c r="A18" s="7" t="str">
        <f>If(Dashboard!U26=TODAY(),Dashboard!P26,"")</f>
        <v/>
      </c>
      <c r="B18" s="7" t="str">
        <f>If(Dashboard!U26=TODAY(),IF(Dashboard!S26&lt;&gt;"", Dashboard!S26*(-1), ""), "")</f>
        <v/>
      </c>
      <c r="C18" s="7" t="str">
        <f>If(A18&lt;&gt;"",Dashboard!T26,"")</f>
        <v/>
      </c>
      <c r="D18" s="7" t="str">
        <f t="shared" si="1"/>
        <v/>
      </c>
      <c r="E18" s="7" t="str">
        <f t="shared" si="2"/>
        <v/>
      </c>
      <c r="F18" s="38" t="str">
        <f>If(A18&lt;&gt;"",Dashboard!U26,"")</f>
        <v/>
      </c>
      <c r="G18" s="42" t="str">
        <f t="shared" si="3"/>
        <v/>
      </c>
    </row>
    <row r="19" ht="15.75" customHeight="1">
      <c r="A19" s="7" t="str">
        <f>If(Dashboard!U27=TODAY(),Dashboard!P27,"")</f>
        <v/>
      </c>
      <c r="B19" s="7" t="str">
        <f>If(Dashboard!U27=TODAY(),IF(Dashboard!S27&lt;&gt;"", Dashboard!S27*(-1), ""), "")</f>
        <v/>
      </c>
      <c r="C19" s="7" t="str">
        <f>If(A19&lt;&gt;"",Dashboard!T27,"")</f>
        <v/>
      </c>
      <c r="D19" s="7" t="str">
        <f t="shared" si="1"/>
        <v/>
      </c>
      <c r="E19" s="7" t="str">
        <f t="shared" si="2"/>
        <v/>
      </c>
      <c r="F19" s="38" t="str">
        <f>If(A19&lt;&gt;"",Dashboard!U27,"")</f>
        <v/>
      </c>
      <c r="G19" s="42" t="str">
        <f t="shared" si="3"/>
        <v/>
      </c>
    </row>
    <row r="20" ht="15.75" customHeight="1">
      <c r="A20" s="7" t="str">
        <f>If(Dashboard!U28=TODAY(),Dashboard!P28,"")</f>
        <v/>
      </c>
      <c r="B20" s="7" t="str">
        <f>If(Dashboard!U28=TODAY(),IF(Dashboard!S28&lt;&gt;"", Dashboard!S28*(-1), ""), "")</f>
        <v/>
      </c>
      <c r="C20" s="7" t="str">
        <f>If(A20&lt;&gt;"",Dashboard!T28,"")</f>
        <v/>
      </c>
      <c r="D20" s="7" t="str">
        <f t="shared" si="1"/>
        <v/>
      </c>
      <c r="E20" s="7" t="str">
        <f t="shared" si="2"/>
        <v/>
      </c>
      <c r="F20" s="38" t="str">
        <f>If(A20&lt;&gt;"",Dashboard!U28,"")</f>
        <v/>
      </c>
      <c r="G20" s="42" t="str">
        <f t="shared" si="3"/>
        <v/>
      </c>
    </row>
    <row r="21" ht="15.75" customHeight="1">
      <c r="A21" s="7" t="str">
        <f>If(Dashboard!U29=TODAY(),Dashboard!P29,"")</f>
        <v/>
      </c>
      <c r="B21" s="7" t="str">
        <f>If(Dashboard!U29=TODAY(),IF(Dashboard!S29&lt;&gt;"", Dashboard!S29*(-1), ""), "")</f>
        <v/>
      </c>
      <c r="C21" s="7" t="str">
        <f>If(A21&lt;&gt;"",Dashboard!T29,"")</f>
        <v/>
      </c>
      <c r="D21" s="7" t="str">
        <f t="shared" si="1"/>
        <v/>
      </c>
      <c r="E21" s="7" t="str">
        <f t="shared" si="2"/>
        <v/>
      </c>
      <c r="F21" s="38" t="str">
        <f>If(A21&lt;&gt;"",Dashboard!U29,"")</f>
        <v/>
      </c>
      <c r="G21" s="42" t="str">
        <f t="shared" si="3"/>
        <v/>
      </c>
    </row>
    <row r="22" ht="15.75" customHeight="1">
      <c r="A22" s="7" t="str">
        <f>If(Dashboard!U30=TODAY(),Dashboard!P30,"")</f>
        <v/>
      </c>
      <c r="B22" s="7" t="str">
        <f>If(Dashboard!U30=TODAY(),IF(Dashboard!S30&lt;&gt;"", Dashboard!S30*(-1), ""), "")</f>
        <v/>
      </c>
      <c r="C22" s="7" t="str">
        <f>If(A22&lt;&gt;"",Dashboard!T30,"")</f>
        <v/>
      </c>
      <c r="D22" s="7" t="str">
        <f t="shared" si="1"/>
        <v/>
      </c>
      <c r="E22" s="7" t="str">
        <f t="shared" si="2"/>
        <v/>
      </c>
      <c r="F22" s="38" t="str">
        <f>If(A22&lt;&gt;"",Dashboard!U30,"")</f>
        <v/>
      </c>
      <c r="G22" s="42" t="str">
        <f t="shared" si="3"/>
        <v/>
      </c>
    </row>
    <row r="23" ht="15.75" customHeight="1">
      <c r="A23" s="7" t="str">
        <f>If(Dashboard!U31=TODAY(),Dashboard!P31,"")</f>
        <v/>
      </c>
      <c r="B23" s="7" t="str">
        <f>If(Dashboard!U31=TODAY(),IF(Dashboard!S31&lt;&gt;"", Dashboard!S31*(-1), ""), "")</f>
        <v/>
      </c>
      <c r="C23" s="7" t="str">
        <f>If(A23&lt;&gt;"",Dashboard!T31,"")</f>
        <v/>
      </c>
      <c r="D23" s="7" t="str">
        <f t="shared" si="1"/>
        <v/>
      </c>
      <c r="E23" s="7" t="str">
        <f t="shared" si="2"/>
        <v/>
      </c>
      <c r="F23" s="38" t="str">
        <f>If(A23&lt;&gt;"",Dashboard!U31,"")</f>
        <v/>
      </c>
      <c r="G23" s="42" t="str">
        <f t="shared" si="3"/>
        <v/>
      </c>
    </row>
    <row r="24" ht="15.75" customHeight="1">
      <c r="A24" s="7" t="str">
        <f>If(Dashboard!U32=TODAY(),Dashboard!P32,"")</f>
        <v/>
      </c>
      <c r="B24" s="7" t="str">
        <f>If(Dashboard!U32=TODAY(),IF(Dashboard!S32&lt;&gt;"", Dashboard!S32*(-1), ""), "")</f>
        <v/>
      </c>
      <c r="C24" s="7" t="str">
        <f>If(A24&lt;&gt;"",Dashboard!T32,"")</f>
        <v/>
      </c>
      <c r="D24" s="7" t="str">
        <f t="shared" si="1"/>
        <v/>
      </c>
      <c r="E24" s="7" t="str">
        <f t="shared" si="2"/>
        <v/>
      </c>
      <c r="F24" s="38" t="str">
        <f>If(A24&lt;&gt;"",Dashboard!U32,"")</f>
        <v/>
      </c>
      <c r="G24" s="42" t="str">
        <f t="shared" si="3"/>
        <v/>
      </c>
    </row>
    <row r="25" ht="15.75" customHeight="1">
      <c r="A25" s="7" t="str">
        <f>If(Dashboard!U33=TODAY(),Dashboard!P33,"")</f>
        <v/>
      </c>
      <c r="B25" s="7" t="str">
        <f>If(Dashboard!U33=TODAY(),IF(Dashboard!S33&lt;&gt;"", Dashboard!S33*(-1), ""), "")</f>
        <v/>
      </c>
      <c r="C25" s="7" t="str">
        <f>If(A25&lt;&gt;"",Dashboard!T33,"")</f>
        <v/>
      </c>
      <c r="D25" s="7" t="str">
        <f t="shared" si="1"/>
        <v/>
      </c>
      <c r="E25" s="7" t="str">
        <f t="shared" si="2"/>
        <v/>
      </c>
      <c r="F25" s="38" t="str">
        <f>If(A25&lt;&gt;"",Dashboard!U33,"")</f>
        <v/>
      </c>
      <c r="G25" s="42" t="str">
        <f t="shared" si="3"/>
        <v/>
      </c>
    </row>
    <row r="26" ht="15.75" customHeight="1">
      <c r="A26" s="7" t="str">
        <f>If(Dashboard!U34=TODAY(),Dashboard!P34,"")</f>
        <v/>
      </c>
      <c r="B26" s="7" t="str">
        <f>If(Dashboard!U34=TODAY(),IF(Dashboard!S34&lt;&gt;"", Dashboard!S34*(-1), ""), "")</f>
        <v/>
      </c>
      <c r="C26" s="7" t="str">
        <f>If(A26&lt;&gt;"",Dashboard!T34,"")</f>
        <v/>
      </c>
      <c r="D26" s="7" t="str">
        <f t="shared" si="1"/>
        <v/>
      </c>
      <c r="E26" s="7" t="str">
        <f t="shared" si="2"/>
        <v/>
      </c>
      <c r="F26" s="38" t="str">
        <f>If(A26&lt;&gt;"",Dashboard!U34,"")</f>
        <v/>
      </c>
      <c r="G26" s="42" t="str">
        <f t="shared" si="3"/>
        <v/>
      </c>
    </row>
    <row r="27" ht="15.75" customHeight="1">
      <c r="A27" s="7" t="str">
        <f>If(Dashboard!U35=TODAY(),Dashboard!P35,"")</f>
        <v/>
      </c>
      <c r="B27" s="7" t="str">
        <f>If(Dashboard!U35=TODAY(),IF(Dashboard!S35&lt;&gt;"", Dashboard!S35*(-1), ""), "")</f>
        <v/>
      </c>
      <c r="C27" s="7" t="str">
        <f>If(A27&lt;&gt;"",Dashboard!T35,"")</f>
        <v/>
      </c>
      <c r="D27" s="7" t="str">
        <f t="shared" si="1"/>
        <v/>
      </c>
      <c r="E27" s="7" t="str">
        <f t="shared" si="2"/>
        <v/>
      </c>
      <c r="F27" s="38" t="str">
        <f>If(A27&lt;&gt;"",Dashboard!U35,"")</f>
        <v/>
      </c>
      <c r="G27" s="42" t="str">
        <f t="shared" si="3"/>
        <v/>
      </c>
    </row>
    <row r="28" ht="15.75" customHeight="1">
      <c r="A28" s="7" t="str">
        <f>If(Dashboard!U36=TODAY(),Dashboard!P36,"")</f>
        <v/>
      </c>
      <c r="B28" s="7" t="str">
        <f>If(Dashboard!U36=TODAY(),IF(Dashboard!S36&lt;&gt;"", Dashboard!S36*(-1), ""), "")</f>
        <v/>
      </c>
      <c r="C28" s="7" t="str">
        <f>If(A28&lt;&gt;"",Dashboard!T36,"")</f>
        <v/>
      </c>
      <c r="D28" s="7" t="str">
        <f t="shared" si="1"/>
        <v/>
      </c>
      <c r="E28" s="7" t="str">
        <f t="shared" si="2"/>
        <v/>
      </c>
      <c r="F28" s="38" t="str">
        <f>If(A28&lt;&gt;"",Dashboard!U36,"")</f>
        <v/>
      </c>
      <c r="G28" s="42" t="str">
        <f t="shared" si="3"/>
        <v/>
      </c>
    </row>
    <row r="29" ht="15.75" customHeight="1">
      <c r="A29" s="7" t="str">
        <f>If(Dashboard!U37=TODAY(),Dashboard!P37,"")</f>
        <v/>
      </c>
      <c r="B29" s="7" t="str">
        <f>If(Dashboard!U37=TODAY(),IF(Dashboard!S37&lt;&gt;"", Dashboard!S37*(-1), ""), "")</f>
        <v/>
      </c>
      <c r="C29" s="7" t="str">
        <f>If(A29&lt;&gt;"",Dashboard!T37,"")</f>
        <v/>
      </c>
      <c r="D29" s="7" t="str">
        <f t="shared" si="1"/>
        <v/>
      </c>
      <c r="E29" s="7" t="str">
        <f t="shared" si="2"/>
        <v/>
      </c>
      <c r="F29" s="38" t="str">
        <f>If(A29&lt;&gt;"",Dashboard!U37,"")</f>
        <v/>
      </c>
      <c r="G29" s="42" t="str">
        <f t="shared" si="3"/>
        <v/>
      </c>
    </row>
    <row r="30" ht="15.75" customHeight="1">
      <c r="A30" s="7" t="str">
        <f>If(Dashboard!U38=TODAY(),Dashboard!P38,"")</f>
        <v/>
      </c>
      <c r="B30" s="7" t="str">
        <f>If(Dashboard!U38=TODAY(),IF(Dashboard!S38&lt;&gt;"", Dashboard!S38*(-1), ""), "")</f>
        <v/>
      </c>
      <c r="C30" s="7" t="str">
        <f>If(A30&lt;&gt;"",Dashboard!T38,"")</f>
        <v/>
      </c>
      <c r="D30" s="7" t="str">
        <f t="shared" si="1"/>
        <v/>
      </c>
      <c r="E30" s="7" t="str">
        <f t="shared" si="2"/>
        <v/>
      </c>
      <c r="F30" s="38" t="str">
        <f>If(A30&lt;&gt;"",Dashboard!U38,"")</f>
        <v/>
      </c>
      <c r="G30" s="42" t="str">
        <f t="shared" si="3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4" max="4" width="25.5"/>
    <col customWidth="1" min="5" max="5" width="45.0"/>
    <col customWidth="1" min="6" max="6" width="14.25"/>
    <col customWidth="1" min="7" max="7" width="22.25"/>
  </cols>
  <sheetData>
    <row r="1" ht="15.75" customHeight="1">
      <c r="A1" s="7" t="str">
        <f>If(Dashboard!AB9=TODAY(),Dashboard!W9,"")</f>
        <v/>
      </c>
      <c r="B1" s="7" t="str">
        <f>If(Dashboard!AB9=TODAY(),IF(Dashboard!Z9&lt;&gt;"", Dashboard!Z9*(-1), ""), "")</f>
        <v/>
      </c>
      <c r="C1" s="7" t="str">
        <f>If(A1&lt;&gt;"",Dashboard!AA9,"")</f>
        <v/>
      </c>
      <c r="D1" s="7" t="str">
        <f t="shared" ref="D1:D30" si="1">If(A1&lt;&gt;"","Internal Product Testing Samples","")</f>
        <v/>
      </c>
      <c r="E1" s="7" t="str">
        <f t="shared" ref="E1:E30" si="2">If(A1&lt;&gt;"","Sample provided to Morgan Reyes (Metrc #0903906814)","")</f>
        <v/>
      </c>
      <c r="F1" s="38" t="str">
        <f>If(A1&lt;&gt;"",Dashboard!AB9,"")</f>
        <v/>
      </c>
      <c r="G1" s="42" t="str">
        <f t="shared" ref="G1:G30" si="3">If(A1&lt;&gt;"","0816943728","")</f>
        <v/>
      </c>
    </row>
    <row r="2" ht="15.75" customHeight="1">
      <c r="A2" s="7" t="str">
        <f>If(Dashboard!AB10=TODAY(),Dashboard!W10,"")</f>
        <v/>
      </c>
      <c r="B2" s="7" t="str">
        <f>If(Dashboard!AB10=TODAY(),IF(Dashboard!Z10&lt;&gt;"", Dashboard!Z10*(-1), ""), "")</f>
        <v/>
      </c>
      <c r="C2" s="7" t="str">
        <f>If(A2&lt;&gt;"",Dashboard!AA10,"")</f>
        <v/>
      </c>
      <c r="D2" s="7" t="str">
        <f t="shared" si="1"/>
        <v/>
      </c>
      <c r="E2" s="7" t="str">
        <f t="shared" si="2"/>
        <v/>
      </c>
      <c r="F2" s="38" t="str">
        <f>If(A2&lt;&gt;"",Dashboard!AB10,"")</f>
        <v/>
      </c>
      <c r="G2" s="42" t="str">
        <f t="shared" si="3"/>
        <v/>
      </c>
    </row>
    <row r="3" ht="15.75" customHeight="1">
      <c r="A3" s="7" t="str">
        <f>If(Dashboard!AB11=TODAY(),Dashboard!W11,"")</f>
        <v/>
      </c>
      <c r="B3" s="7" t="str">
        <f>If(Dashboard!AB11=TODAY(),IF(Dashboard!Z11&lt;&gt;"", Dashboard!Z11*(-1), ""), "")</f>
        <v/>
      </c>
      <c r="C3" s="7" t="str">
        <f>If(A3&lt;&gt;"",Dashboard!AA11,"")</f>
        <v/>
      </c>
      <c r="D3" s="7" t="str">
        <f t="shared" si="1"/>
        <v/>
      </c>
      <c r="E3" s="7" t="str">
        <f t="shared" si="2"/>
        <v/>
      </c>
      <c r="F3" s="38" t="str">
        <f>If(A3&lt;&gt;"",Dashboard!AB11,"")</f>
        <v/>
      </c>
      <c r="G3" s="42" t="str">
        <f t="shared" si="3"/>
        <v/>
      </c>
    </row>
    <row r="4" ht="15.75" customHeight="1">
      <c r="A4" s="7" t="str">
        <f>If(Dashboard!AB12=TODAY(),Dashboard!W12,"")</f>
        <v/>
      </c>
      <c r="B4" s="7" t="str">
        <f>If(Dashboard!AB12=TODAY(),IF(Dashboard!Z12&lt;&gt;"", Dashboard!Z12*(-1), ""), "")</f>
        <v/>
      </c>
      <c r="C4" s="7" t="str">
        <f>If(A4&lt;&gt;"",Dashboard!AA12,"")</f>
        <v/>
      </c>
      <c r="D4" s="7" t="str">
        <f t="shared" si="1"/>
        <v/>
      </c>
      <c r="E4" s="7" t="str">
        <f t="shared" si="2"/>
        <v/>
      </c>
      <c r="F4" s="38" t="str">
        <f>If(A4&lt;&gt;"",Dashboard!AB12,"")</f>
        <v/>
      </c>
      <c r="G4" s="42" t="str">
        <f t="shared" si="3"/>
        <v/>
      </c>
    </row>
    <row r="5" ht="15.75" customHeight="1">
      <c r="A5" s="7" t="str">
        <f>If(Dashboard!AB13=TODAY(),Dashboard!W13,"")</f>
        <v/>
      </c>
      <c r="B5" s="7" t="str">
        <f>If(Dashboard!AB13=TODAY(),IF(Dashboard!Z13&lt;&gt;"", Dashboard!Z13*(-1), ""), "")</f>
        <v/>
      </c>
      <c r="C5" s="7" t="str">
        <f>If(A5&lt;&gt;"",Dashboard!AA13,"")</f>
        <v/>
      </c>
      <c r="D5" s="7" t="str">
        <f t="shared" si="1"/>
        <v/>
      </c>
      <c r="E5" s="7" t="str">
        <f t="shared" si="2"/>
        <v/>
      </c>
      <c r="F5" s="38" t="str">
        <f>If(A5&lt;&gt;"",Dashboard!AB13,"")</f>
        <v/>
      </c>
      <c r="G5" s="42" t="str">
        <f t="shared" si="3"/>
        <v/>
      </c>
    </row>
    <row r="6" ht="15.75" customHeight="1">
      <c r="A6" s="7" t="str">
        <f>If(Dashboard!AB14=TODAY(),Dashboard!W14,"")</f>
        <v/>
      </c>
      <c r="B6" s="7" t="str">
        <f>If(Dashboard!AB14=TODAY(),IF(Dashboard!Z14&lt;&gt;"", Dashboard!Z14*(-1), ""), "")</f>
        <v/>
      </c>
      <c r="C6" s="7" t="str">
        <f>If(A6&lt;&gt;"",Dashboard!AA14,"")</f>
        <v/>
      </c>
      <c r="D6" s="7" t="str">
        <f t="shared" si="1"/>
        <v/>
      </c>
      <c r="E6" s="7" t="str">
        <f t="shared" si="2"/>
        <v/>
      </c>
      <c r="F6" s="38" t="str">
        <f>If(A6&lt;&gt;"",Dashboard!AB14,"")</f>
        <v/>
      </c>
      <c r="G6" s="42" t="str">
        <f t="shared" si="3"/>
        <v/>
      </c>
    </row>
    <row r="7" ht="15.75" customHeight="1">
      <c r="A7" s="7" t="str">
        <f>If(Dashboard!AB15=TODAY(),Dashboard!W15,"")</f>
        <v/>
      </c>
      <c r="B7" s="7" t="str">
        <f>If(Dashboard!AB15=TODAY(),IF(Dashboard!Z15&lt;&gt;"", Dashboard!Z15*(-1), ""), "")</f>
        <v/>
      </c>
      <c r="C7" s="7" t="str">
        <f>If(A7&lt;&gt;"",Dashboard!AA15,"")</f>
        <v/>
      </c>
      <c r="D7" s="7" t="str">
        <f t="shared" si="1"/>
        <v/>
      </c>
      <c r="E7" s="7" t="str">
        <f t="shared" si="2"/>
        <v/>
      </c>
      <c r="F7" s="38" t="str">
        <f>If(A7&lt;&gt;"",Dashboard!AB15,"")</f>
        <v/>
      </c>
      <c r="G7" s="42" t="str">
        <f t="shared" si="3"/>
        <v/>
      </c>
    </row>
    <row r="8" ht="15.75" customHeight="1">
      <c r="A8" s="7" t="str">
        <f>If(Dashboard!AB16=TODAY(),Dashboard!W16,"")</f>
        <v/>
      </c>
      <c r="B8" s="7" t="str">
        <f>If(Dashboard!AB16=TODAY(),IF(Dashboard!Z16&lt;&gt;"", Dashboard!Z16*(-1), ""), "")</f>
        <v/>
      </c>
      <c r="C8" s="7" t="str">
        <f>If(A8&lt;&gt;"",Dashboard!AA16,"")</f>
        <v/>
      </c>
      <c r="D8" s="7" t="str">
        <f t="shared" si="1"/>
        <v/>
      </c>
      <c r="E8" s="7" t="str">
        <f t="shared" si="2"/>
        <v/>
      </c>
      <c r="F8" s="38" t="str">
        <f>If(A8&lt;&gt;"",Dashboard!AB16,"")</f>
        <v/>
      </c>
      <c r="G8" s="42" t="str">
        <f t="shared" si="3"/>
        <v/>
      </c>
    </row>
    <row r="9" ht="15.75" customHeight="1">
      <c r="A9" s="7" t="str">
        <f>If(Dashboard!AB17=TODAY(),Dashboard!W17,"")</f>
        <v/>
      </c>
      <c r="B9" s="7" t="str">
        <f>If(Dashboard!AB17=TODAY(),IF(Dashboard!Z17&lt;&gt;"", Dashboard!Z17*(-1), ""), "")</f>
        <v/>
      </c>
      <c r="C9" s="7" t="str">
        <f>If(A9&lt;&gt;"",Dashboard!AA17,"")</f>
        <v/>
      </c>
      <c r="D9" s="7" t="str">
        <f t="shared" si="1"/>
        <v/>
      </c>
      <c r="E9" s="7" t="str">
        <f t="shared" si="2"/>
        <v/>
      </c>
      <c r="F9" s="38" t="str">
        <f>If(A9&lt;&gt;"",Dashboard!AB17,"")</f>
        <v/>
      </c>
      <c r="G9" s="42" t="str">
        <f t="shared" si="3"/>
        <v/>
      </c>
    </row>
    <row r="10" ht="15.75" customHeight="1">
      <c r="A10" s="7" t="str">
        <f>If(Dashboard!AB18=TODAY(),Dashboard!W18,"")</f>
        <v/>
      </c>
      <c r="B10" s="7" t="str">
        <f>If(Dashboard!AB18=TODAY(),IF(Dashboard!Z18&lt;&gt;"", Dashboard!Z18*(-1), ""), "")</f>
        <v/>
      </c>
      <c r="C10" s="7" t="str">
        <f>If(A10&lt;&gt;"",Dashboard!AA18,"")</f>
        <v/>
      </c>
      <c r="D10" s="7" t="str">
        <f t="shared" si="1"/>
        <v/>
      </c>
      <c r="E10" s="7" t="str">
        <f t="shared" si="2"/>
        <v/>
      </c>
      <c r="F10" s="38" t="str">
        <f>If(A10&lt;&gt;"",Dashboard!AB18,"")</f>
        <v/>
      </c>
      <c r="G10" s="42" t="str">
        <f t="shared" si="3"/>
        <v/>
      </c>
    </row>
    <row r="11" ht="15.75" customHeight="1">
      <c r="A11" s="7" t="str">
        <f>If(Dashboard!AB19=TODAY(),Dashboard!W19,"")</f>
        <v/>
      </c>
      <c r="B11" s="7" t="str">
        <f>If(Dashboard!AB19=TODAY(),IF(Dashboard!Z19&lt;&gt;"", Dashboard!Z19*(-1), ""), "")</f>
        <v/>
      </c>
      <c r="C11" s="7" t="str">
        <f>If(A11&lt;&gt;"",Dashboard!AA19,"")</f>
        <v/>
      </c>
      <c r="D11" s="7" t="str">
        <f t="shared" si="1"/>
        <v/>
      </c>
      <c r="E11" s="7" t="str">
        <f t="shared" si="2"/>
        <v/>
      </c>
      <c r="F11" s="38" t="str">
        <f>If(A11&lt;&gt;"",Dashboard!AB19,"")</f>
        <v/>
      </c>
      <c r="G11" s="42" t="str">
        <f t="shared" si="3"/>
        <v/>
      </c>
    </row>
    <row r="12" ht="15.75" customHeight="1">
      <c r="A12" s="7" t="str">
        <f>If(Dashboard!AB20=TODAY(),Dashboard!W20,"")</f>
        <v/>
      </c>
      <c r="B12" s="7" t="str">
        <f>If(Dashboard!AB20=TODAY(),IF(Dashboard!Z20&lt;&gt;"", Dashboard!Z20*(-1), ""), "")</f>
        <v/>
      </c>
      <c r="C12" s="7" t="str">
        <f>If(A12&lt;&gt;"",Dashboard!AA20,"")</f>
        <v/>
      </c>
      <c r="D12" s="7" t="str">
        <f t="shared" si="1"/>
        <v/>
      </c>
      <c r="E12" s="7" t="str">
        <f t="shared" si="2"/>
        <v/>
      </c>
      <c r="F12" s="38" t="str">
        <f>If(A12&lt;&gt;"",Dashboard!AB20,"")</f>
        <v/>
      </c>
      <c r="G12" s="42" t="str">
        <f t="shared" si="3"/>
        <v/>
      </c>
    </row>
    <row r="13" ht="15.75" customHeight="1">
      <c r="A13" s="7" t="str">
        <f>If(Dashboard!AB21=TODAY(),Dashboard!W21,"")</f>
        <v/>
      </c>
      <c r="B13" s="7" t="str">
        <f>If(Dashboard!AB21=TODAY(),IF(Dashboard!Z21&lt;&gt;"", Dashboard!Z21*(-1), ""), "")</f>
        <v/>
      </c>
      <c r="C13" s="7" t="str">
        <f>If(A13&lt;&gt;"",Dashboard!AA21,"")</f>
        <v/>
      </c>
      <c r="D13" s="7" t="str">
        <f t="shared" si="1"/>
        <v/>
      </c>
      <c r="E13" s="7" t="str">
        <f t="shared" si="2"/>
        <v/>
      </c>
      <c r="F13" s="38" t="str">
        <f>If(A13&lt;&gt;"",Dashboard!AB21,"")</f>
        <v/>
      </c>
      <c r="G13" s="42" t="str">
        <f t="shared" si="3"/>
        <v/>
      </c>
    </row>
    <row r="14" ht="15.75" customHeight="1">
      <c r="A14" s="7" t="str">
        <f>If(Dashboard!AB22=TODAY(),Dashboard!W22,"")</f>
        <v/>
      </c>
      <c r="B14" s="7" t="str">
        <f>If(Dashboard!AB22=TODAY(),IF(Dashboard!Z22&lt;&gt;"", Dashboard!Z22*(-1), ""), "")</f>
        <v/>
      </c>
      <c r="C14" s="7" t="str">
        <f>If(A14&lt;&gt;"",Dashboard!AA22,"")</f>
        <v/>
      </c>
      <c r="D14" s="7" t="str">
        <f t="shared" si="1"/>
        <v/>
      </c>
      <c r="E14" s="7" t="str">
        <f t="shared" si="2"/>
        <v/>
      </c>
      <c r="F14" s="38" t="str">
        <f>If(A14&lt;&gt;"",Dashboard!AB22,"")</f>
        <v/>
      </c>
      <c r="G14" s="42" t="str">
        <f t="shared" si="3"/>
        <v/>
      </c>
    </row>
    <row r="15" ht="15.75" customHeight="1">
      <c r="A15" s="7" t="str">
        <f>If(Dashboard!AB23=TODAY(),Dashboard!W23,"")</f>
        <v/>
      </c>
      <c r="B15" s="7" t="str">
        <f>If(Dashboard!AB23=TODAY(),IF(Dashboard!Z23&lt;&gt;"", Dashboard!Z23*(-1), ""), "")</f>
        <v/>
      </c>
      <c r="C15" s="7" t="str">
        <f>If(A15&lt;&gt;"",Dashboard!AA23,"")</f>
        <v/>
      </c>
      <c r="D15" s="7" t="str">
        <f t="shared" si="1"/>
        <v/>
      </c>
      <c r="E15" s="7" t="str">
        <f t="shared" si="2"/>
        <v/>
      </c>
      <c r="F15" s="38" t="str">
        <f>If(A15&lt;&gt;"",Dashboard!AB23,"")</f>
        <v/>
      </c>
      <c r="G15" s="42" t="str">
        <f t="shared" si="3"/>
        <v/>
      </c>
    </row>
    <row r="16" ht="15.75" customHeight="1">
      <c r="A16" s="7" t="str">
        <f>If(Dashboard!AB24=TODAY(),Dashboard!W24,"")</f>
        <v/>
      </c>
      <c r="B16" s="7" t="str">
        <f>If(Dashboard!AB24=TODAY(),IF(Dashboard!Z24&lt;&gt;"", Dashboard!Z24*(-1), ""), "")</f>
        <v/>
      </c>
      <c r="C16" s="7" t="str">
        <f>If(A16&lt;&gt;"",Dashboard!AA24,"")</f>
        <v/>
      </c>
      <c r="D16" s="7" t="str">
        <f t="shared" si="1"/>
        <v/>
      </c>
      <c r="E16" s="7" t="str">
        <f t="shared" si="2"/>
        <v/>
      </c>
      <c r="F16" s="38" t="str">
        <f>If(A16&lt;&gt;"",Dashboard!AB24,"")</f>
        <v/>
      </c>
      <c r="G16" s="42" t="str">
        <f t="shared" si="3"/>
        <v/>
      </c>
    </row>
    <row r="17" ht="15.75" customHeight="1">
      <c r="A17" s="7" t="str">
        <f>If(Dashboard!AB25=TODAY(),Dashboard!W25,"")</f>
        <v/>
      </c>
      <c r="B17" s="7" t="str">
        <f>If(Dashboard!AB25=TODAY(),IF(Dashboard!Z25&lt;&gt;"", Dashboard!Z25*(-1), ""), "")</f>
        <v/>
      </c>
      <c r="C17" s="7" t="str">
        <f>If(A17&lt;&gt;"",Dashboard!AA25,"")</f>
        <v/>
      </c>
      <c r="D17" s="7" t="str">
        <f t="shared" si="1"/>
        <v/>
      </c>
      <c r="E17" s="7" t="str">
        <f t="shared" si="2"/>
        <v/>
      </c>
      <c r="F17" s="38" t="str">
        <f>If(A17&lt;&gt;"",Dashboard!AB25,"")</f>
        <v/>
      </c>
      <c r="G17" s="42" t="str">
        <f t="shared" si="3"/>
        <v/>
      </c>
    </row>
    <row r="18" ht="15.75" customHeight="1">
      <c r="A18" s="7" t="str">
        <f>If(Dashboard!AB26=TODAY(),Dashboard!W26,"")</f>
        <v/>
      </c>
      <c r="B18" s="7" t="str">
        <f>If(Dashboard!AB26=TODAY(),IF(Dashboard!Z26&lt;&gt;"", Dashboard!Z26*(-1), ""), "")</f>
        <v/>
      </c>
      <c r="C18" s="7" t="str">
        <f>If(A18&lt;&gt;"",Dashboard!AA26,"")</f>
        <v/>
      </c>
      <c r="D18" s="7" t="str">
        <f t="shared" si="1"/>
        <v/>
      </c>
      <c r="E18" s="7" t="str">
        <f t="shared" si="2"/>
        <v/>
      </c>
      <c r="F18" s="38" t="str">
        <f>If(A18&lt;&gt;"",Dashboard!AB26,"")</f>
        <v/>
      </c>
      <c r="G18" s="42" t="str">
        <f t="shared" si="3"/>
        <v/>
      </c>
    </row>
    <row r="19" ht="15.75" customHeight="1">
      <c r="A19" s="7" t="str">
        <f>If(Dashboard!AB27=TODAY(),Dashboard!W27,"")</f>
        <v/>
      </c>
      <c r="B19" s="7" t="str">
        <f>If(Dashboard!AB27=TODAY(),IF(Dashboard!Z27&lt;&gt;"", Dashboard!Z27*(-1), ""), "")</f>
        <v/>
      </c>
      <c r="C19" s="7" t="str">
        <f>If(A19&lt;&gt;"",Dashboard!AA27,"")</f>
        <v/>
      </c>
      <c r="D19" s="7" t="str">
        <f t="shared" si="1"/>
        <v/>
      </c>
      <c r="E19" s="7" t="str">
        <f t="shared" si="2"/>
        <v/>
      </c>
      <c r="F19" s="38" t="str">
        <f>If(A19&lt;&gt;"",Dashboard!AB27,"")</f>
        <v/>
      </c>
      <c r="G19" s="42" t="str">
        <f t="shared" si="3"/>
        <v/>
      </c>
    </row>
    <row r="20" ht="15.75" customHeight="1">
      <c r="A20" s="7" t="str">
        <f>If(Dashboard!AB28=TODAY(),Dashboard!W28,"")</f>
        <v/>
      </c>
      <c r="B20" s="7" t="str">
        <f>If(Dashboard!AB28=TODAY(),IF(Dashboard!Z28&lt;&gt;"", Dashboard!Z28*(-1), ""), "")</f>
        <v/>
      </c>
      <c r="C20" s="7" t="str">
        <f>If(A20&lt;&gt;"",Dashboard!AA28,"")</f>
        <v/>
      </c>
      <c r="D20" s="7" t="str">
        <f t="shared" si="1"/>
        <v/>
      </c>
      <c r="E20" s="7" t="str">
        <f t="shared" si="2"/>
        <v/>
      </c>
      <c r="F20" s="38" t="str">
        <f>If(A20&lt;&gt;"",Dashboard!AB28,"")</f>
        <v/>
      </c>
      <c r="G20" s="42" t="str">
        <f t="shared" si="3"/>
        <v/>
      </c>
    </row>
    <row r="21" ht="15.75" customHeight="1">
      <c r="A21" s="7" t="str">
        <f>If(Dashboard!AB29=TODAY(),Dashboard!W29,"")</f>
        <v/>
      </c>
      <c r="B21" s="7" t="str">
        <f>If(Dashboard!AB29=TODAY(),IF(Dashboard!Z29&lt;&gt;"", Dashboard!Z29*(-1), ""), "")</f>
        <v/>
      </c>
      <c r="C21" s="7" t="str">
        <f>If(A21&lt;&gt;"",Dashboard!AA29,"")</f>
        <v/>
      </c>
      <c r="D21" s="7" t="str">
        <f t="shared" si="1"/>
        <v/>
      </c>
      <c r="E21" s="7" t="str">
        <f t="shared" si="2"/>
        <v/>
      </c>
      <c r="F21" s="38" t="str">
        <f>If(A21&lt;&gt;"",Dashboard!AB29,"")</f>
        <v/>
      </c>
      <c r="G21" s="42" t="str">
        <f t="shared" si="3"/>
        <v/>
      </c>
    </row>
    <row r="22" ht="15.75" customHeight="1">
      <c r="A22" s="7" t="str">
        <f>If(Dashboard!AB30=TODAY(),Dashboard!W30,"")</f>
        <v/>
      </c>
      <c r="B22" s="7" t="str">
        <f>If(Dashboard!AB30=TODAY(),IF(Dashboard!Z30&lt;&gt;"", Dashboard!Z30*(-1), ""), "")</f>
        <v/>
      </c>
      <c r="C22" s="7" t="str">
        <f>If(A22&lt;&gt;"",Dashboard!AA30,"")</f>
        <v/>
      </c>
      <c r="D22" s="7" t="str">
        <f t="shared" si="1"/>
        <v/>
      </c>
      <c r="E22" s="7" t="str">
        <f t="shared" si="2"/>
        <v/>
      </c>
      <c r="F22" s="38" t="str">
        <f>If(A22&lt;&gt;"",Dashboard!AB30,"")</f>
        <v/>
      </c>
      <c r="G22" s="42" t="str">
        <f t="shared" si="3"/>
        <v/>
      </c>
    </row>
    <row r="23" ht="15.75" customHeight="1">
      <c r="A23" s="7" t="str">
        <f>If(Dashboard!AB31=TODAY(),Dashboard!W31,"")</f>
        <v/>
      </c>
      <c r="B23" s="7" t="str">
        <f>If(Dashboard!AB31=TODAY(),IF(Dashboard!Z31&lt;&gt;"", Dashboard!Z31*(-1), ""), "")</f>
        <v/>
      </c>
      <c r="C23" s="7" t="str">
        <f>If(A23&lt;&gt;"",Dashboard!AA31,"")</f>
        <v/>
      </c>
      <c r="D23" s="7" t="str">
        <f t="shared" si="1"/>
        <v/>
      </c>
      <c r="E23" s="7" t="str">
        <f t="shared" si="2"/>
        <v/>
      </c>
      <c r="F23" s="38" t="str">
        <f>If(A23&lt;&gt;"",Dashboard!AB31,"")</f>
        <v/>
      </c>
      <c r="G23" s="42" t="str">
        <f t="shared" si="3"/>
        <v/>
      </c>
    </row>
    <row r="24" ht="15.75" customHeight="1">
      <c r="A24" s="7" t="str">
        <f>If(Dashboard!AB32=TODAY(),Dashboard!W32,"")</f>
        <v/>
      </c>
      <c r="B24" s="7" t="str">
        <f>If(Dashboard!AB32=TODAY(),IF(Dashboard!Z32&lt;&gt;"", Dashboard!Z32*(-1), ""), "")</f>
        <v/>
      </c>
      <c r="C24" s="7" t="str">
        <f>If(A24&lt;&gt;"",Dashboard!AA32,"")</f>
        <v/>
      </c>
      <c r="D24" s="7" t="str">
        <f t="shared" si="1"/>
        <v/>
      </c>
      <c r="E24" s="7" t="str">
        <f t="shared" si="2"/>
        <v/>
      </c>
      <c r="F24" s="38" t="str">
        <f>If(A24&lt;&gt;"",Dashboard!AB32,"")</f>
        <v/>
      </c>
      <c r="G24" s="42" t="str">
        <f t="shared" si="3"/>
        <v/>
      </c>
    </row>
    <row r="25" ht="15.75" customHeight="1">
      <c r="A25" s="7" t="str">
        <f>If(Dashboard!AB33=TODAY(),Dashboard!W33,"")</f>
        <v/>
      </c>
      <c r="B25" s="7" t="str">
        <f>If(Dashboard!AB33=TODAY(),IF(Dashboard!Z33&lt;&gt;"", Dashboard!Z33*(-1), ""), "")</f>
        <v/>
      </c>
      <c r="C25" s="7" t="str">
        <f>If(A25&lt;&gt;"",Dashboard!AA33,"")</f>
        <v/>
      </c>
      <c r="D25" s="7" t="str">
        <f t="shared" si="1"/>
        <v/>
      </c>
      <c r="E25" s="7" t="str">
        <f t="shared" si="2"/>
        <v/>
      </c>
      <c r="F25" s="38" t="str">
        <f>If(A25&lt;&gt;"",Dashboard!AB33,"")</f>
        <v/>
      </c>
      <c r="G25" s="42" t="str">
        <f t="shared" si="3"/>
        <v/>
      </c>
    </row>
    <row r="26" ht="15.75" customHeight="1">
      <c r="A26" s="7" t="str">
        <f>If(Dashboard!AB34=TODAY(),Dashboard!W34,"")</f>
        <v/>
      </c>
      <c r="B26" s="7" t="str">
        <f>If(Dashboard!AB34=TODAY(),IF(Dashboard!Z34&lt;&gt;"", Dashboard!Z34*(-1), ""), "")</f>
        <v/>
      </c>
      <c r="C26" s="7" t="str">
        <f>If(A26&lt;&gt;"",Dashboard!AA34,"")</f>
        <v/>
      </c>
      <c r="D26" s="7" t="str">
        <f t="shared" si="1"/>
        <v/>
      </c>
      <c r="E26" s="7" t="str">
        <f t="shared" si="2"/>
        <v/>
      </c>
      <c r="F26" s="38" t="str">
        <f>If(A26&lt;&gt;"",Dashboard!AB34,"")</f>
        <v/>
      </c>
      <c r="G26" s="42" t="str">
        <f t="shared" si="3"/>
        <v/>
      </c>
    </row>
    <row r="27" ht="15.75" customHeight="1">
      <c r="A27" s="7" t="str">
        <f>If(Dashboard!AB35=TODAY(),Dashboard!W35,"")</f>
        <v/>
      </c>
      <c r="B27" s="7" t="str">
        <f>If(Dashboard!AB35=TODAY(),IF(Dashboard!Z35&lt;&gt;"", Dashboard!Z35*(-1), ""), "")</f>
        <v/>
      </c>
      <c r="C27" s="7" t="str">
        <f>If(A27&lt;&gt;"",Dashboard!AA35,"")</f>
        <v/>
      </c>
      <c r="D27" s="7" t="str">
        <f t="shared" si="1"/>
        <v/>
      </c>
      <c r="E27" s="7" t="str">
        <f t="shared" si="2"/>
        <v/>
      </c>
      <c r="F27" s="38" t="str">
        <f>If(A27&lt;&gt;"",Dashboard!AB35,"")</f>
        <v/>
      </c>
      <c r="G27" s="42" t="str">
        <f t="shared" si="3"/>
        <v/>
      </c>
    </row>
    <row r="28" ht="15.75" customHeight="1">
      <c r="A28" s="7" t="str">
        <f>If(Dashboard!AB36=TODAY(),Dashboard!W36,"")</f>
        <v/>
      </c>
      <c r="B28" s="7" t="str">
        <f>If(Dashboard!AB36=TODAY(),IF(Dashboard!Z36&lt;&gt;"", Dashboard!Z36*(-1), ""), "")</f>
        <v/>
      </c>
      <c r="C28" s="7" t="str">
        <f>If(A28&lt;&gt;"",Dashboard!AA36,"")</f>
        <v/>
      </c>
      <c r="D28" s="7" t="str">
        <f t="shared" si="1"/>
        <v/>
      </c>
      <c r="E28" s="7" t="str">
        <f t="shared" si="2"/>
        <v/>
      </c>
      <c r="F28" s="38" t="str">
        <f>If(A28&lt;&gt;"",Dashboard!AB36,"")</f>
        <v/>
      </c>
      <c r="G28" s="42" t="str">
        <f t="shared" si="3"/>
        <v/>
      </c>
    </row>
    <row r="29" ht="15.75" customHeight="1">
      <c r="A29" s="7" t="str">
        <f>If(Dashboard!AB37=TODAY(),Dashboard!W37,"")</f>
        <v/>
      </c>
      <c r="B29" s="7" t="str">
        <f>If(Dashboard!AB37=TODAY(),IF(Dashboard!Z37&lt;&gt;"", Dashboard!Z37*(-1), ""), "")</f>
        <v/>
      </c>
      <c r="C29" s="7" t="str">
        <f>If(A29&lt;&gt;"",Dashboard!AA37,"")</f>
        <v/>
      </c>
      <c r="D29" s="7" t="str">
        <f t="shared" si="1"/>
        <v/>
      </c>
      <c r="E29" s="7" t="str">
        <f t="shared" si="2"/>
        <v/>
      </c>
      <c r="F29" s="38" t="str">
        <f>If(A29&lt;&gt;"",Dashboard!AB37,"")</f>
        <v/>
      </c>
      <c r="G29" s="42" t="str">
        <f t="shared" si="3"/>
        <v/>
      </c>
    </row>
    <row r="30" ht="15.75" customHeight="1">
      <c r="A30" s="7" t="str">
        <f>If(Dashboard!AB38=TODAY(),Dashboard!W38,"")</f>
        <v/>
      </c>
      <c r="B30" s="7" t="str">
        <f>If(Dashboard!AB38=TODAY(),IF(Dashboard!Z38&lt;&gt;"", Dashboard!Z38*(-1), ""), "")</f>
        <v/>
      </c>
      <c r="C30" s="7" t="str">
        <f>If(A30&lt;&gt;"",Dashboard!AA38,"")</f>
        <v/>
      </c>
      <c r="D30" s="7" t="str">
        <f t="shared" si="1"/>
        <v/>
      </c>
      <c r="E30" s="7" t="str">
        <f t="shared" si="2"/>
        <v/>
      </c>
      <c r="F30" s="38" t="str">
        <f>If(A30&lt;&gt;"",Dashboard!AB38,"")</f>
        <v/>
      </c>
      <c r="G30" s="42" t="str">
        <f t="shared" si="3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4" max="4" width="25.5"/>
    <col customWidth="1" min="5" max="5" width="45.0"/>
    <col customWidth="1" min="6" max="6" width="14.25"/>
    <col customWidth="1" min="7" max="7" width="22.25"/>
  </cols>
  <sheetData>
    <row r="1" ht="15.75" customHeight="1">
      <c r="A1" s="7" t="str">
        <f>If(Dashboard!AI9=TODAY(),Dashboard!AD9,"")</f>
        <v/>
      </c>
      <c r="B1" s="7" t="str">
        <f>If(Dashboard!AI9=TODAY(),IF(Dashboard!AG9&lt;&gt;"", Dashboard!AG9*(-1), ""), "")</f>
        <v/>
      </c>
      <c r="C1" s="7" t="str">
        <f>If(A1&lt;&gt;"",Dashboard!AH9,"")</f>
        <v/>
      </c>
      <c r="D1" s="7" t="str">
        <f t="shared" ref="D1:D30" si="1">If(A1&lt;&gt;"","Internal Product Testing Samples","")</f>
        <v/>
      </c>
      <c r="E1" s="7" t="str">
        <f t="shared" ref="E1:E30" si="2">If(A1&lt;&gt;"","Sample provided to Casey Nguyen (Metrc #0127974596)","")</f>
        <v/>
      </c>
      <c r="F1" s="38" t="str">
        <f>If(A1&lt;&gt;"",Dashboard!AI9,"")</f>
        <v/>
      </c>
      <c r="G1" s="42" t="str">
        <f t="shared" ref="G1:G30" si="3">If(A1&lt;&gt;"","0816943728","")</f>
        <v/>
      </c>
    </row>
    <row r="2" ht="15.75" customHeight="1">
      <c r="A2" s="7" t="str">
        <f>If(Dashboard!AI10=TODAY(),Dashboard!AD10,"")</f>
        <v/>
      </c>
      <c r="B2" s="7" t="str">
        <f>If(Dashboard!AI10=TODAY(),IF(Dashboard!AG10&lt;&gt;"", Dashboard!AG10*(-1), ""), "")</f>
        <v/>
      </c>
      <c r="C2" s="7" t="str">
        <f>If(A2&lt;&gt;"",Dashboard!AH10,"")</f>
        <v/>
      </c>
      <c r="D2" s="7" t="str">
        <f t="shared" si="1"/>
        <v/>
      </c>
      <c r="E2" s="7" t="str">
        <f t="shared" si="2"/>
        <v/>
      </c>
      <c r="F2" s="38" t="str">
        <f>If(A2&lt;&gt;"",Dashboard!AI10,"")</f>
        <v/>
      </c>
      <c r="G2" s="42" t="str">
        <f t="shared" si="3"/>
        <v/>
      </c>
    </row>
    <row r="3" ht="15.75" customHeight="1">
      <c r="A3" s="7" t="str">
        <f>If(Dashboard!AI11=TODAY(),Dashboard!AD11,"")</f>
        <v/>
      </c>
      <c r="B3" s="7" t="str">
        <f>If(Dashboard!AI11=TODAY(),IF(Dashboard!AG11&lt;&gt;"", Dashboard!AG11*(-1), ""), "")</f>
        <v/>
      </c>
      <c r="C3" s="7" t="str">
        <f>If(A3&lt;&gt;"",Dashboard!AH11,"")</f>
        <v/>
      </c>
      <c r="D3" s="7" t="str">
        <f t="shared" si="1"/>
        <v/>
      </c>
      <c r="E3" s="7" t="str">
        <f t="shared" si="2"/>
        <v/>
      </c>
      <c r="F3" s="38" t="str">
        <f>If(A3&lt;&gt;"",Dashboard!AI11,"")</f>
        <v/>
      </c>
      <c r="G3" s="42" t="str">
        <f t="shared" si="3"/>
        <v/>
      </c>
    </row>
    <row r="4" ht="15.75" customHeight="1">
      <c r="A4" s="7" t="str">
        <f>If(Dashboard!AI12=TODAY(),Dashboard!AD12,"")</f>
        <v/>
      </c>
      <c r="B4" s="7" t="str">
        <f>If(Dashboard!AI12=TODAY(),IF(Dashboard!AG12&lt;&gt;"", Dashboard!AG12*(-1), ""), "")</f>
        <v/>
      </c>
      <c r="C4" s="7" t="str">
        <f>If(A4&lt;&gt;"",Dashboard!AH12,"")</f>
        <v/>
      </c>
      <c r="D4" s="7" t="str">
        <f t="shared" si="1"/>
        <v/>
      </c>
      <c r="E4" s="7" t="str">
        <f t="shared" si="2"/>
        <v/>
      </c>
      <c r="F4" s="38" t="str">
        <f>If(A4&lt;&gt;"",Dashboard!AI12,"")</f>
        <v/>
      </c>
      <c r="G4" s="42" t="str">
        <f t="shared" si="3"/>
        <v/>
      </c>
    </row>
    <row r="5" ht="15.75" customHeight="1">
      <c r="A5" s="7" t="str">
        <f>If(Dashboard!AI13=TODAY(),Dashboard!AD13,"")</f>
        <v/>
      </c>
      <c r="B5" s="7" t="str">
        <f>If(Dashboard!AI13=TODAY(),IF(Dashboard!AG13&lt;&gt;"", Dashboard!AG13*(-1), ""), "")</f>
        <v/>
      </c>
      <c r="C5" s="7" t="str">
        <f>If(A5&lt;&gt;"",Dashboard!AH13,"")</f>
        <v/>
      </c>
      <c r="D5" s="7" t="str">
        <f t="shared" si="1"/>
        <v/>
      </c>
      <c r="E5" s="7" t="str">
        <f t="shared" si="2"/>
        <v/>
      </c>
      <c r="F5" s="38" t="str">
        <f>If(A5&lt;&gt;"",Dashboard!AI13,"")</f>
        <v/>
      </c>
      <c r="G5" s="42" t="str">
        <f t="shared" si="3"/>
        <v/>
      </c>
    </row>
    <row r="6" ht="15.75" customHeight="1">
      <c r="A6" s="7" t="str">
        <f>If(Dashboard!AI14=TODAY(),Dashboard!AD14,"")</f>
        <v/>
      </c>
      <c r="B6" s="7" t="str">
        <f>If(Dashboard!AI14=TODAY(),IF(Dashboard!AG14&lt;&gt;"", Dashboard!AG14*(-1), ""), "")</f>
        <v/>
      </c>
      <c r="C6" s="7" t="str">
        <f>If(A6&lt;&gt;"",Dashboard!AH14,"")</f>
        <v/>
      </c>
      <c r="D6" s="7" t="str">
        <f t="shared" si="1"/>
        <v/>
      </c>
      <c r="E6" s="7" t="str">
        <f t="shared" si="2"/>
        <v/>
      </c>
      <c r="F6" s="38" t="str">
        <f>If(A6&lt;&gt;"",Dashboard!AI14,"")</f>
        <v/>
      </c>
      <c r="G6" s="42" t="str">
        <f t="shared" si="3"/>
        <v/>
      </c>
    </row>
    <row r="7" ht="15.75" customHeight="1">
      <c r="A7" s="7" t="str">
        <f>If(Dashboard!AI15=TODAY(),Dashboard!AD15,"")</f>
        <v/>
      </c>
      <c r="B7" s="7" t="str">
        <f>If(Dashboard!AI15=TODAY(),IF(Dashboard!AG15&lt;&gt;"", Dashboard!AG15*(-1), ""), "")</f>
        <v/>
      </c>
      <c r="C7" s="7" t="str">
        <f>If(A7&lt;&gt;"",Dashboard!AH15,"")</f>
        <v/>
      </c>
      <c r="D7" s="7" t="str">
        <f t="shared" si="1"/>
        <v/>
      </c>
      <c r="E7" s="7" t="str">
        <f t="shared" si="2"/>
        <v/>
      </c>
      <c r="F7" s="38" t="str">
        <f>If(A7&lt;&gt;"",Dashboard!AI15,"")</f>
        <v/>
      </c>
      <c r="G7" s="42" t="str">
        <f t="shared" si="3"/>
        <v/>
      </c>
    </row>
    <row r="8" ht="15.75" customHeight="1">
      <c r="A8" s="7" t="str">
        <f>If(Dashboard!AI16=TODAY(),Dashboard!AD16,"")</f>
        <v/>
      </c>
      <c r="B8" s="7" t="str">
        <f>If(Dashboard!AI16=TODAY(),IF(Dashboard!AG16&lt;&gt;"", Dashboard!AG16*(-1), ""), "")</f>
        <v/>
      </c>
      <c r="C8" s="7" t="str">
        <f>If(A8&lt;&gt;"",Dashboard!AH16,"")</f>
        <v/>
      </c>
      <c r="D8" s="7" t="str">
        <f t="shared" si="1"/>
        <v/>
      </c>
      <c r="E8" s="7" t="str">
        <f t="shared" si="2"/>
        <v/>
      </c>
      <c r="F8" s="38" t="str">
        <f>If(A8&lt;&gt;"",Dashboard!AI16,"")</f>
        <v/>
      </c>
      <c r="G8" s="42" t="str">
        <f t="shared" si="3"/>
        <v/>
      </c>
    </row>
    <row r="9" ht="15.75" customHeight="1">
      <c r="A9" s="7" t="str">
        <f>If(Dashboard!AI17=TODAY(),Dashboard!AD17,"")</f>
        <v/>
      </c>
      <c r="B9" s="7" t="str">
        <f>If(Dashboard!AI17=TODAY(),IF(Dashboard!AG17&lt;&gt;"", Dashboard!AG17*(-1), ""), "")</f>
        <v/>
      </c>
      <c r="C9" s="7" t="str">
        <f>If(A9&lt;&gt;"",Dashboard!AH17,"")</f>
        <v/>
      </c>
      <c r="D9" s="7" t="str">
        <f t="shared" si="1"/>
        <v/>
      </c>
      <c r="E9" s="7" t="str">
        <f t="shared" si="2"/>
        <v/>
      </c>
      <c r="F9" s="38" t="str">
        <f>If(A9&lt;&gt;"",Dashboard!AI17,"")</f>
        <v/>
      </c>
      <c r="G9" s="42" t="str">
        <f t="shared" si="3"/>
        <v/>
      </c>
    </row>
    <row r="10" ht="15.75" customHeight="1">
      <c r="A10" s="7" t="str">
        <f>If(Dashboard!AI18=TODAY(),Dashboard!AD18,"")</f>
        <v/>
      </c>
      <c r="B10" s="7" t="str">
        <f>If(Dashboard!AI18=TODAY(),IF(Dashboard!AG18&lt;&gt;"", Dashboard!AG18*(-1), ""), "")</f>
        <v/>
      </c>
      <c r="C10" s="7" t="str">
        <f>If(A10&lt;&gt;"",Dashboard!AH18,"")</f>
        <v/>
      </c>
      <c r="D10" s="7" t="str">
        <f t="shared" si="1"/>
        <v/>
      </c>
      <c r="E10" s="7" t="str">
        <f t="shared" si="2"/>
        <v/>
      </c>
      <c r="F10" s="38" t="str">
        <f>If(A10&lt;&gt;"",Dashboard!AI18,"")</f>
        <v/>
      </c>
      <c r="G10" s="42" t="str">
        <f t="shared" si="3"/>
        <v/>
      </c>
    </row>
    <row r="11" ht="15.75" customHeight="1">
      <c r="A11" s="7" t="str">
        <f>If(Dashboard!AI19=TODAY(),Dashboard!AD19,"")</f>
        <v/>
      </c>
      <c r="B11" s="7" t="str">
        <f>If(Dashboard!AI19=TODAY(),IF(Dashboard!AG19&lt;&gt;"", Dashboard!AG19*(-1), ""), "")</f>
        <v/>
      </c>
      <c r="C11" s="7" t="str">
        <f>If(A11&lt;&gt;"",Dashboard!AH19,"")</f>
        <v/>
      </c>
      <c r="D11" s="7" t="str">
        <f t="shared" si="1"/>
        <v/>
      </c>
      <c r="E11" s="7" t="str">
        <f t="shared" si="2"/>
        <v/>
      </c>
      <c r="F11" s="38" t="str">
        <f>If(A11&lt;&gt;"",Dashboard!AI19,"")</f>
        <v/>
      </c>
      <c r="G11" s="42" t="str">
        <f t="shared" si="3"/>
        <v/>
      </c>
    </row>
    <row r="12" ht="15.75" customHeight="1">
      <c r="A12" s="7" t="str">
        <f>If(Dashboard!AI20=TODAY(),Dashboard!AD20,"")</f>
        <v/>
      </c>
      <c r="B12" s="7" t="str">
        <f>If(Dashboard!AI20=TODAY(),IF(Dashboard!AG20&lt;&gt;"", Dashboard!AG20*(-1), ""), "")</f>
        <v/>
      </c>
      <c r="C12" s="7" t="str">
        <f>If(A12&lt;&gt;"",Dashboard!AH20,"")</f>
        <v/>
      </c>
      <c r="D12" s="7" t="str">
        <f t="shared" si="1"/>
        <v/>
      </c>
      <c r="E12" s="7" t="str">
        <f t="shared" si="2"/>
        <v/>
      </c>
      <c r="F12" s="38" t="str">
        <f>If(A12&lt;&gt;"",Dashboard!AI20,"")</f>
        <v/>
      </c>
      <c r="G12" s="42" t="str">
        <f t="shared" si="3"/>
        <v/>
      </c>
    </row>
    <row r="13" ht="15.75" customHeight="1">
      <c r="A13" s="7" t="str">
        <f>If(Dashboard!AI21=TODAY(),Dashboard!AD21,"")</f>
        <v/>
      </c>
      <c r="B13" s="7" t="str">
        <f>If(Dashboard!AI21=TODAY(),IF(Dashboard!AG21&lt;&gt;"", Dashboard!AG21*(-1), ""), "")</f>
        <v/>
      </c>
      <c r="C13" s="7" t="str">
        <f>If(A13&lt;&gt;"",Dashboard!AH21,"")</f>
        <v/>
      </c>
      <c r="D13" s="7" t="str">
        <f t="shared" si="1"/>
        <v/>
      </c>
      <c r="E13" s="7" t="str">
        <f t="shared" si="2"/>
        <v/>
      </c>
      <c r="F13" s="38" t="str">
        <f>If(A13&lt;&gt;"",Dashboard!AI21,"")</f>
        <v/>
      </c>
      <c r="G13" s="42" t="str">
        <f t="shared" si="3"/>
        <v/>
      </c>
    </row>
    <row r="14" ht="15.75" customHeight="1">
      <c r="A14" s="7" t="str">
        <f>If(Dashboard!AI22=TODAY(),Dashboard!AD22,"")</f>
        <v/>
      </c>
      <c r="B14" s="7" t="str">
        <f>If(Dashboard!AI22=TODAY(),IF(Dashboard!AG22&lt;&gt;"", Dashboard!AG22*(-1), ""), "")</f>
        <v/>
      </c>
      <c r="C14" s="7" t="str">
        <f>If(A14&lt;&gt;"",Dashboard!AH22,"")</f>
        <v/>
      </c>
      <c r="D14" s="7" t="str">
        <f t="shared" si="1"/>
        <v/>
      </c>
      <c r="E14" s="7" t="str">
        <f t="shared" si="2"/>
        <v/>
      </c>
      <c r="F14" s="38" t="str">
        <f>If(A14&lt;&gt;"",Dashboard!AI22,"")</f>
        <v/>
      </c>
      <c r="G14" s="42" t="str">
        <f t="shared" si="3"/>
        <v/>
      </c>
    </row>
    <row r="15" ht="15.75" customHeight="1">
      <c r="A15" s="7" t="str">
        <f>If(Dashboard!AI23=TODAY(),Dashboard!AD23,"")</f>
        <v/>
      </c>
      <c r="B15" s="7" t="str">
        <f>If(Dashboard!AI23=TODAY(),IF(Dashboard!AG23&lt;&gt;"", Dashboard!AG23*(-1), ""), "")</f>
        <v/>
      </c>
      <c r="C15" s="7" t="str">
        <f>If(A15&lt;&gt;"",Dashboard!AH23,"")</f>
        <v/>
      </c>
      <c r="D15" s="7" t="str">
        <f t="shared" si="1"/>
        <v/>
      </c>
      <c r="E15" s="7" t="str">
        <f t="shared" si="2"/>
        <v/>
      </c>
      <c r="F15" s="38" t="str">
        <f>If(A15&lt;&gt;"",Dashboard!AI23,"")</f>
        <v/>
      </c>
      <c r="G15" s="42" t="str">
        <f t="shared" si="3"/>
        <v/>
      </c>
    </row>
    <row r="16" ht="15.75" customHeight="1">
      <c r="A16" s="7" t="str">
        <f>If(Dashboard!AI24=TODAY(),Dashboard!AD24,"")</f>
        <v/>
      </c>
      <c r="B16" s="7" t="str">
        <f>If(Dashboard!AI24=TODAY(),IF(Dashboard!AG24&lt;&gt;"", Dashboard!AG24*(-1), ""), "")</f>
        <v/>
      </c>
      <c r="C16" s="7" t="str">
        <f>If(A16&lt;&gt;"",Dashboard!AH24,"")</f>
        <v/>
      </c>
      <c r="D16" s="7" t="str">
        <f t="shared" si="1"/>
        <v/>
      </c>
      <c r="E16" s="7" t="str">
        <f t="shared" si="2"/>
        <v/>
      </c>
      <c r="F16" s="38" t="str">
        <f>If(A16&lt;&gt;"",Dashboard!AI24,"")</f>
        <v/>
      </c>
      <c r="G16" s="42" t="str">
        <f t="shared" si="3"/>
        <v/>
      </c>
    </row>
    <row r="17" ht="15.75" customHeight="1">
      <c r="A17" s="7" t="str">
        <f>If(Dashboard!AI25=TODAY(),Dashboard!AD25,"")</f>
        <v/>
      </c>
      <c r="B17" s="7" t="str">
        <f>If(Dashboard!AI25=TODAY(),IF(Dashboard!AG25&lt;&gt;"", Dashboard!AG25*(-1), ""), "")</f>
        <v/>
      </c>
      <c r="C17" s="7" t="str">
        <f>If(A17&lt;&gt;"",Dashboard!AH25,"")</f>
        <v/>
      </c>
      <c r="D17" s="7" t="str">
        <f t="shared" si="1"/>
        <v/>
      </c>
      <c r="E17" s="7" t="str">
        <f t="shared" si="2"/>
        <v/>
      </c>
      <c r="F17" s="38" t="str">
        <f>If(A17&lt;&gt;"",Dashboard!AI25,"")</f>
        <v/>
      </c>
      <c r="G17" s="42" t="str">
        <f t="shared" si="3"/>
        <v/>
      </c>
    </row>
    <row r="18" ht="15.75" customHeight="1">
      <c r="A18" s="7" t="str">
        <f>If(Dashboard!AI26=TODAY(),Dashboard!AD26,"")</f>
        <v/>
      </c>
      <c r="B18" s="7" t="str">
        <f>If(Dashboard!AI26=TODAY(),IF(Dashboard!AG26&lt;&gt;"", Dashboard!AG26*(-1), ""), "")</f>
        <v/>
      </c>
      <c r="C18" s="7" t="str">
        <f>If(A18&lt;&gt;"",Dashboard!AH26,"")</f>
        <v/>
      </c>
      <c r="D18" s="7" t="str">
        <f t="shared" si="1"/>
        <v/>
      </c>
      <c r="E18" s="7" t="str">
        <f t="shared" si="2"/>
        <v/>
      </c>
      <c r="F18" s="38" t="str">
        <f>If(A18&lt;&gt;"",Dashboard!AI26,"")</f>
        <v/>
      </c>
      <c r="G18" s="42" t="str">
        <f t="shared" si="3"/>
        <v/>
      </c>
    </row>
    <row r="19" ht="15.75" customHeight="1">
      <c r="A19" s="7" t="str">
        <f>If(Dashboard!AI27=TODAY(),Dashboard!AD27,"")</f>
        <v/>
      </c>
      <c r="B19" s="7" t="str">
        <f>If(Dashboard!AI27=TODAY(),IF(Dashboard!AG27&lt;&gt;"", Dashboard!AG27*(-1), ""), "")</f>
        <v/>
      </c>
      <c r="C19" s="7" t="str">
        <f>If(A19&lt;&gt;"",Dashboard!AH27,"")</f>
        <v/>
      </c>
      <c r="D19" s="7" t="str">
        <f t="shared" si="1"/>
        <v/>
      </c>
      <c r="E19" s="7" t="str">
        <f t="shared" si="2"/>
        <v/>
      </c>
      <c r="F19" s="38" t="str">
        <f>If(A19&lt;&gt;"",Dashboard!AI27,"")</f>
        <v/>
      </c>
      <c r="G19" s="42" t="str">
        <f t="shared" si="3"/>
        <v/>
      </c>
    </row>
    <row r="20" ht="15.75" customHeight="1">
      <c r="A20" s="7" t="str">
        <f>If(Dashboard!AI28=TODAY(),Dashboard!AD28,"")</f>
        <v/>
      </c>
      <c r="B20" s="7" t="str">
        <f>If(Dashboard!AI28=TODAY(),IF(Dashboard!AG28&lt;&gt;"", Dashboard!AG28*(-1), ""), "")</f>
        <v/>
      </c>
      <c r="C20" s="7" t="str">
        <f>If(A20&lt;&gt;"",Dashboard!AH28,"")</f>
        <v/>
      </c>
      <c r="D20" s="7" t="str">
        <f t="shared" si="1"/>
        <v/>
      </c>
      <c r="E20" s="7" t="str">
        <f t="shared" si="2"/>
        <v/>
      </c>
      <c r="F20" s="38" t="str">
        <f>If(A20&lt;&gt;"",Dashboard!AI28,"")</f>
        <v/>
      </c>
      <c r="G20" s="42" t="str">
        <f t="shared" si="3"/>
        <v/>
      </c>
    </row>
    <row r="21" ht="15.75" customHeight="1">
      <c r="A21" s="7" t="str">
        <f>If(Dashboard!AI29=TODAY(),Dashboard!AD29,"")</f>
        <v/>
      </c>
      <c r="B21" s="7" t="str">
        <f>If(Dashboard!AI29=TODAY(),IF(Dashboard!AG29&lt;&gt;"", Dashboard!AG29*(-1), ""), "")</f>
        <v/>
      </c>
      <c r="C21" s="7" t="str">
        <f>If(A21&lt;&gt;"",Dashboard!AH29,"")</f>
        <v/>
      </c>
      <c r="D21" s="7" t="str">
        <f t="shared" si="1"/>
        <v/>
      </c>
      <c r="E21" s="7" t="str">
        <f t="shared" si="2"/>
        <v/>
      </c>
      <c r="F21" s="38" t="str">
        <f>If(A21&lt;&gt;"",Dashboard!AI29,"")</f>
        <v/>
      </c>
      <c r="G21" s="42" t="str">
        <f t="shared" si="3"/>
        <v/>
      </c>
    </row>
    <row r="22" ht="15.75" customHeight="1">
      <c r="A22" s="7" t="str">
        <f>If(Dashboard!AI30=TODAY(),Dashboard!AD30,"")</f>
        <v/>
      </c>
      <c r="B22" s="7" t="str">
        <f>If(Dashboard!AI30=TODAY(),IF(Dashboard!AG30&lt;&gt;"", Dashboard!AG30*(-1), ""), "")</f>
        <v/>
      </c>
      <c r="C22" s="7" t="str">
        <f>If(A22&lt;&gt;"",Dashboard!AH30,"")</f>
        <v/>
      </c>
      <c r="D22" s="7" t="str">
        <f t="shared" si="1"/>
        <v/>
      </c>
      <c r="E22" s="7" t="str">
        <f t="shared" si="2"/>
        <v/>
      </c>
      <c r="F22" s="38" t="str">
        <f>If(A22&lt;&gt;"",Dashboard!AI30,"")</f>
        <v/>
      </c>
      <c r="G22" s="42" t="str">
        <f t="shared" si="3"/>
        <v/>
      </c>
    </row>
    <row r="23" ht="15.75" customHeight="1">
      <c r="A23" s="7" t="str">
        <f>If(Dashboard!AI31=TODAY(),Dashboard!AD31,"")</f>
        <v/>
      </c>
      <c r="B23" s="7" t="str">
        <f>If(Dashboard!AI31=TODAY(),IF(Dashboard!AG31&lt;&gt;"", Dashboard!AG31*(-1), ""), "")</f>
        <v/>
      </c>
      <c r="C23" s="7" t="str">
        <f>If(A23&lt;&gt;"",Dashboard!AH31,"")</f>
        <v/>
      </c>
      <c r="D23" s="7" t="str">
        <f t="shared" si="1"/>
        <v/>
      </c>
      <c r="E23" s="7" t="str">
        <f t="shared" si="2"/>
        <v/>
      </c>
      <c r="F23" s="38" t="str">
        <f>If(A23&lt;&gt;"",Dashboard!AI31,"")</f>
        <v/>
      </c>
      <c r="G23" s="42" t="str">
        <f t="shared" si="3"/>
        <v/>
      </c>
    </row>
    <row r="24" ht="15.75" customHeight="1">
      <c r="A24" s="7" t="str">
        <f>If(Dashboard!AI32=TODAY(),Dashboard!AD32,"")</f>
        <v/>
      </c>
      <c r="B24" s="7" t="str">
        <f>If(Dashboard!AI32=TODAY(),IF(Dashboard!AG32&lt;&gt;"", Dashboard!AG32*(-1), ""), "")</f>
        <v/>
      </c>
      <c r="C24" s="7" t="str">
        <f>If(A24&lt;&gt;"",Dashboard!AH32,"")</f>
        <v/>
      </c>
      <c r="D24" s="7" t="str">
        <f t="shared" si="1"/>
        <v/>
      </c>
      <c r="E24" s="7" t="str">
        <f t="shared" si="2"/>
        <v/>
      </c>
      <c r="F24" s="38" t="str">
        <f>If(A24&lt;&gt;"",Dashboard!AI32,"")</f>
        <v/>
      </c>
      <c r="G24" s="42" t="str">
        <f t="shared" si="3"/>
        <v/>
      </c>
    </row>
    <row r="25" ht="15.75" customHeight="1">
      <c r="A25" s="7" t="str">
        <f>If(Dashboard!AI33=TODAY(),Dashboard!AD33,"")</f>
        <v/>
      </c>
      <c r="B25" s="7" t="str">
        <f>If(Dashboard!AI33=TODAY(),IF(Dashboard!AG33&lt;&gt;"", Dashboard!AG33*(-1), ""), "")</f>
        <v/>
      </c>
      <c r="C25" s="7" t="str">
        <f>If(A25&lt;&gt;"",Dashboard!AH33,"")</f>
        <v/>
      </c>
      <c r="D25" s="7" t="str">
        <f t="shared" si="1"/>
        <v/>
      </c>
      <c r="E25" s="7" t="str">
        <f t="shared" si="2"/>
        <v/>
      </c>
      <c r="F25" s="38" t="str">
        <f>If(A25&lt;&gt;"",Dashboard!AI33,"")</f>
        <v/>
      </c>
      <c r="G25" s="42" t="str">
        <f t="shared" si="3"/>
        <v/>
      </c>
    </row>
    <row r="26" ht="15.75" customHeight="1">
      <c r="A26" s="7" t="str">
        <f>If(Dashboard!AI34=TODAY(),Dashboard!AD34,"")</f>
        <v/>
      </c>
      <c r="B26" s="7" t="str">
        <f>If(Dashboard!AI34=TODAY(),IF(Dashboard!AG34&lt;&gt;"", Dashboard!AG34*(-1), ""), "")</f>
        <v/>
      </c>
      <c r="C26" s="7" t="str">
        <f>If(A26&lt;&gt;"",Dashboard!AH34,"")</f>
        <v/>
      </c>
      <c r="D26" s="7" t="str">
        <f t="shared" si="1"/>
        <v/>
      </c>
      <c r="E26" s="7" t="str">
        <f t="shared" si="2"/>
        <v/>
      </c>
      <c r="F26" s="38" t="str">
        <f>If(A26&lt;&gt;"",Dashboard!AI34,"")</f>
        <v/>
      </c>
      <c r="G26" s="42" t="str">
        <f t="shared" si="3"/>
        <v/>
      </c>
    </row>
    <row r="27" ht="15.75" customHeight="1">
      <c r="A27" s="7" t="str">
        <f>If(Dashboard!AI35=TODAY(),Dashboard!AD35,"")</f>
        <v/>
      </c>
      <c r="B27" s="7" t="str">
        <f>If(Dashboard!AI35=TODAY(),IF(Dashboard!AG35&lt;&gt;"", Dashboard!AG35*(-1), ""), "")</f>
        <v/>
      </c>
      <c r="C27" s="7" t="str">
        <f>If(A27&lt;&gt;"",Dashboard!AH35,"")</f>
        <v/>
      </c>
      <c r="D27" s="7" t="str">
        <f t="shared" si="1"/>
        <v/>
      </c>
      <c r="E27" s="7" t="str">
        <f t="shared" si="2"/>
        <v/>
      </c>
      <c r="F27" s="38" t="str">
        <f>If(A27&lt;&gt;"",Dashboard!AI35,"")</f>
        <v/>
      </c>
      <c r="G27" s="42" t="str">
        <f t="shared" si="3"/>
        <v/>
      </c>
    </row>
    <row r="28" ht="15.75" customHeight="1">
      <c r="A28" s="7" t="str">
        <f>If(Dashboard!AI36=TODAY(),Dashboard!AD36,"")</f>
        <v/>
      </c>
      <c r="B28" s="7" t="str">
        <f>If(Dashboard!AI36=TODAY(),IF(Dashboard!AG36&lt;&gt;"", Dashboard!AG36*(-1), ""), "")</f>
        <v/>
      </c>
      <c r="C28" s="7" t="str">
        <f>If(A28&lt;&gt;"",Dashboard!AH36,"")</f>
        <v/>
      </c>
      <c r="D28" s="7" t="str">
        <f t="shared" si="1"/>
        <v/>
      </c>
      <c r="E28" s="7" t="str">
        <f t="shared" si="2"/>
        <v/>
      </c>
      <c r="F28" s="38" t="str">
        <f>If(A28&lt;&gt;"",Dashboard!AI36,"")</f>
        <v/>
      </c>
      <c r="G28" s="42" t="str">
        <f t="shared" si="3"/>
        <v/>
      </c>
    </row>
    <row r="29" ht="15.75" customHeight="1">
      <c r="A29" s="7" t="str">
        <f>If(Dashboard!AI37=TODAY(),Dashboard!AD37,"")</f>
        <v/>
      </c>
      <c r="B29" s="7" t="str">
        <f>If(Dashboard!AI37=TODAY(),IF(Dashboard!AG37&lt;&gt;"", Dashboard!AG37*(-1), ""), "")</f>
        <v/>
      </c>
      <c r="C29" s="7" t="str">
        <f>If(A29&lt;&gt;"",Dashboard!AH37,"")</f>
        <v/>
      </c>
      <c r="D29" s="7" t="str">
        <f t="shared" si="1"/>
        <v/>
      </c>
      <c r="E29" s="7" t="str">
        <f t="shared" si="2"/>
        <v/>
      </c>
      <c r="F29" s="38" t="str">
        <f>If(A29&lt;&gt;"",Dashboard!AI37,"")</f>
        <v/>
      </c>
      <c r="G29" s="42" t="str">
        <f t="shared" si="3"/>
        <v/>
      </c>
    </row>
    <row r="30" ht="15.75" customHeight="1">
      <c r="A30" s="7" t="str">
        <f>If(Dashboard!AI38=TODAY(),Dashboard!AD38,"")</f>
        <v/>
      </c>
      <c r="B30" s="7" t="str">
        <f>If(Dashboard!AI38=TODAY(),IF(Dashboard!AG38&lt;&gt;"", Dashboard!AG38*(-1), ""), "")</f>
        <v/>
      </c>
      <c r="C30" s="7" t="str">
        <f>If(A30&lt;&gt;"",Dashboard!AH38,"")</f>
        <v/>
      </c>
      <c r="D30" s="7" t="str">
        <f t="shared" si="1"/>
        <v/>
      </c>
      <c r="E30" s="7" t="str">
        <f t="shared" si="2"/>
        <v/>
      </c>
      <c r="F30" s="38" t="str">
        <f>If(A30&lt;&gt;"",Dashboard!AI38,"")</f>
        <v/>
      </c>
      <c r="G30" s="42" t="str">
        <f t="shared" si="3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